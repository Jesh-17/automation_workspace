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Sheet1!$A$1:$T$1</definedName>
  </definedNames>
  <calcPr fullCalcOnLoad="1"/>
</workbook>
</file>

<file path=xl/sharedStrings.xml><?xml version="1.0" encoding="utf-8"?>
<sst xmlns="http://schemas.openxmlformats.org/spreadsheetml/2006/main" count="848" uniqueCount="184">
  <si>
    <t>SL No.</t>
  </si>
  <si>
    <t>Ticket Assigned Date/Time</t>
  </si>
  <si>
    <t xml:space="preserve">AlarmDescription </t>
  </si>
  <si>
    <t>Ticket Categorization</t>
  </si>
  <si>
    <t>JIRA Ticket No.</t>
  </si>
  <si>
    <t>Response Date/Time</t>
  </si>
  <si>
    <t>Actual Response Time</t>
  </si>
  <si>
    <t>Ticket Type</t>
  </si>
  <si>
    <t>Application</t>
  </si>
  <si>
    <t>Priority</t>
  </si>
  <si>
    <t>Ticket Received/Raised By</t>
  </si>
  <si>
    <t>Ticket Assigned To</t>
  </si>
  <si>
    <t>Ticket Analysis By L2</t>
  </si>
  <si>
    <t>Ticket Status</t>
  </si>
  <si>
    <t>Resolution Comments</t>
  </si>
  <si>
    <t>Resolution/Analysis Date/Time</t>
  </si>
  <si>
    <t>Actual Resolution/Analysis Time</t>
  </si>
  <si>
    <t>SLA Met - Response Time</t>
  </si>
  <si>
    <t>SLA Met - Resolution/Analysis Time</t>
  </si>
  <si>
    <t>Closed By L2 Team</t>
  </si>
  <si>
    <t>tigo-cognito-prod-master-Monitoring-6I7LSTA3KZJH-DARApiGateway4XXErrorAlarm-1RU6CTB3HN9ZJ</t>
  </si>
  <si>
    <t>Alarm based Ticket</t>
  </si>
  <si>
    <t>I-034855</t>
  </si>
  <si>
    <t>TigoID - Millicom</t>
  </si>
  <si>
    <t>Major(P3)</t>
  </si>
  <si>
    <t>Venesh G</t>
  </si>
  <si>
    <t>L3 Team</t>
  </si>
  <si>
    <t>Completed/Closed</t>
  </si>
  <si>
    <t>Pending</t>
  </si>
  <si>
    <t>Based on our investigation, while reviewing the CloudWatch Logs for 4xx errors, we observed a higher frequency of errors originating from the Lambda function "TigoID-Functional--V2-API-prod" and we could see OTP login flow initialized correctly, then failed at external billing sync due to missing/expired auth token and a config fallback</t>
  </si>
  <si>
    <t>Yes</t>
  </si>
  <si>
    <t>tigo-cognito-prod-master-Monitoring-6I7LSTA3KZJH-BillingSystemGetAccountsAPITimeoutErrorAlarm-1PCEMSDTPMP30</t>
  </si>
  <si>
    <t>I-034913</t>
  </si>
  <si>
    <t>AppSupport team</t>
  </si>
  <si>
    <t>Based on our Investigation, the error occurred due to a timeout in the external API call to the billing system. Specifically, the Billing System Get Accounts API exceeded the configured timeout limit of 10,005 ms, resulting in a failure</t>
  </si>
  <si>
    <t>Phone OTP login is not working for few lines in non prod</t>
  </si>
  <si>
    <t>L3 Given Task</t>
  </si>
  <si>
    <t>I-034978</t>
  </si>
  <si>
    <t>Pradeep Damera</t>
  </si>
  <si>
    <t>L2 Team</t>
  </si>
  <si>
    <t>Closed</t>
  </si>
  <si>
    <t>We created this ticket based on a request from the L3 team. After analyzing the issue, we provided the investigation details below. Subsequently, to reduce the occurrence of ERR214, the L3 team disabled the security checks for all countries.</t>
  </si>
  <si>
    <t>tigo-cognito-prod-master-Monitoring-6I7LSTA3KZJH-LambdaThrottles-T4BHZQAJD6PY</t>
  </si>
  <si>
    <t>I-035125</t>
  </si>
  <si>
    <t xml:space="preserve">As per our analysis, we could see the alarm "tigo-cognito-prod-master-Monitoring-6I7LSTA3KZJH-LambdaThrottles-T4BHZQAJD6PY" got triggered in our TIGO AWS Console. While checking the CloudWatch Metrics of Lambda throttles, the affected Lambda is TigoID-Account-Lifecycle-Events-Processor-PY-prod, TigoID-Account-Lifecycle-Events-User-Handler-PY-prod, TigoID-Account-Lifecycle-Events-Validator-PY-prod </t>
  </si>
  <si>
    <t>PaymentGateway-prod-RDS-VolumeReadIOPs</t>
  </si>
  <si>
    <t>I-068518</t>
  </si>
  <si>
    <t>Payment Gateway - Millicom</t>
  </si>
  <si>
    <t>As per analysis, we noticed the increased volume iop is because of some applications running backend.</t>
  </si>
  <si>
    <t>Non-Prod (Legacy QA) Issue – BILLING-SYSTEM-GET-ACCOUNTS-API Matching Record Not Found</t>
  </si>
  <si>
    <t>I-068658</t>
  </si>
  <si>
    <t>We could see the endpoint POST:/v4/public/auth/login/phone from the logs nonprod (Functional-Api-v2-qa). The error is due to 'no matching customer account found in billing system get accounts api response'. The OTP login failed because the Billing Sync API returned customer account data (3 accounts), but none of the returned accounts matched the MSISDN (59175561346 / 75561346) being authenticated</t>
  </si>
  <si>
    <t>tigo-cognito-prod-master-Monitoring-6I7LSTA3KZJH-LambdaErrors-27JT0HGYTAIS</t>
  </si>
  <si>
    <t>I-068861</t>
  </si>
  <si>
    <t>Tetali Kalyana Lakshmi</t>
  </si>
  <si>
    <t>We have received "tigo-cognito-prod-master-Monitoring-6I7LSTA3KZJH-LambdaErrors-27JT0HGYTAIS" alarm while checking error count during mentioned above time slot we found below errors are related to "TigoID-API-Gateway-Lambda-Authorizer-prod". We noticed the error in logs as Invoke Error with error code API-GATEWAY-AUTHORIZER:ERR0" with error Message as "Unauthorized".</t>
  </si>
  <si>
    <t>PaymentGateway-prod-RDS-ActiveTransactions</t>
  </si>
  <si>
    <t>I-068867</t>
  </si>
  <si>
    <t>As per analysis, we noticed the increased  is because of some applications running backend.</t>
  </si>
  <si>
    <t>I-068883</t>
  </si>
  <si>
    <t>Chandu Kumar</t>
  </si>
  <si>
    <t>PaymentGateway-prod-API-5XXErrors</t>
  </si>
  <si>
    <t>I-068899</t>
  </si>
  <si>
    <t>Based on the log analysis for PaymentGateway‑prod‑Orders‑Microservice, during the reported time window, multiple HTTP 500 – Internal Server Error responses were observed while processing async order requests. The impacted application is mitigo-ionic-mobile-packets-qrs-prd-bo.</t>
  </si>
  <si>
    <t>tigo-cognito-prod-master-Monitoring-EventsQueueAgeOfOldestMessageAlarm-Manual|Unable to connect to the database connect ETIMEDOUT</t>
  </si>
  <si>
    <t>I-069270</t>
  </si>
  <si>
    <t>Sadhu Rajesh</t>
  </si>
  <si>
    <t>While reviewing the CloudWatch logs, we observed that the Lambda function encountered a database connectivity issue during request processing. The application was unable to establish a connection with the database and received a connection timeout error.</t>
  </si>
  <si>
    <t>Error 400 Bad request in Tigo ID Manager</t>
  </si>
  <si>
    <t>User Ticket</t>
  </si>
  <si>
    <t>I-069051</t>
  </si>
  <si>
    <t>Please review the below RCA provided by the Arnaldo Borda and let know if any additional information required for the same as we also would like to provide the same information which was given by him.</t>
  </si>
  <si>
    <t>PaymentGateway-prod-API-5XXErrors|Nequi</t>
  </si>
  <si>
    <t>I-069567</t>
  </si>
  <si>
    <t>The majority of these errors originated from the Lambda function "PaymentGateway-prod-OrdersMicroservice", specifically POST/pg/customers/{uuid}/transactions/orders/async endpoint. 3,690 identical PaymentGatewayException errors all carrying the external error code "2-CCSB000028".</t>
  </si>
  <si>
    <t>tigo-cognito-prod-master-Monitoring-6I7LSTA3KZJH-BillingSystemGetAccountsAPITimeoutErrorAlarm-1PCEMSDTPMP30|EXTERNAL-APIS:BILLING-SYSTEM-GET-ACCOUNTS-API-TIMEOUT</t>
  </si>
  <si>
    <t>I-069597</t>
  </si>
  <si>
    <t>Based on our investigation, the error occurred due to a timeout while invoking an external Billing System API. Specifically, the Billing System Get Accounts API exceeded the configured timeout threshold and did not respond within the expected timeframe, resulting in a request failure.</t>
  </si>
  <si>
    <t>I-069631</t>
  </si>
  <si>
    <t>LA | TIGOID | Lambda Throttles: With Async Invocations: Can be ignored</t>
  </si>
  <si>
    <t>I-069776</t>
  </si>
  <si>
    <t>High(P2)</t>
  </si>
  <si>
    <t xml:space="preserve">Based on the investigation, we noticed the CPU utilization is below 20 percent of utilization. </t>
  </si>
  <si>
    <t>tigo-cognito-prod-master-Monitoring-6I7LSTA3KZJH-LambdaErrors-27JT0HGYTAIS|TigoID-Event-Processor-prod</t>
  </si>
  <si>
    <t>I-069796</t>
  </si>
  <si>
    <t>We have received "tigo-cognito-prod-master-Monitoring-6I7LSTA3KZJH-LambdaErrors-27JT0HGYTAIS" alarm while checking error count during mentioned above time slot we found below errors are related to "TigoID-Event-Processor-prod". We noticed the error in logs as Invoke Error with error message like "SequelizeDatabaseError".</t>
  </si>
  <si>
    <t>PaymentGateway-prod-Event-Message-Processor-Exceptions|Communications link failure</t>
  </si>
  <si>
    <t>I-069905</t>
  </si>
  <si>
    <t>Database connectivity failure caused a timed‑out MySQL connection, resulting in a JDBC Communications link failure.</t>
  </si>
  <si>
    <t>HN | Email Account Association to Company</t>
  </si>
  <si>
    <t>TIGOID-8369</t>
  </si>
  <si>
    <t>The investigation shows that the error is caused by the Billing System API returning invalid data while fetching accounts using the provided document details.</t>
  </si>
  <si>
    <t>NI - GT - HN | Payment Gateway |Payment not approved</t>
  </si>
  <si>
    <t>I-070727</t>
  </si>
  <si>
    <t>As per investigation, we noticed the payment processor is cybersource, when we check with few order id we identifed the issue is with  cybersource "Error in AFS - ClientException".Because of this AFS check is pending which turning out to "java.net.SocketTimeoutException: Read timed out".</t>
  </si>
  <si>
    <t>PaymentGateway-prod-API-5XXErrors|FRI and Nequi</t>
  </si>
  <si>
    <t>I-070741</t>
  </si>
  <si>
    <t>The Nequi payment request was successfully submitted, and the Nequi API returned an HTTP 200 response. However, the payment transaction could not be processed successfully, resulting in a payment failure and FRI service returned an HTTP 404 response with the error detail "El usuario es inválido o no existe" (The user is invalid or does not exist). As no matching error mapping was found for the returned reason code, the application generated a default error response</t>
  </si>
  <si>
    <t>I-070752</t>
  </si>
  <si>
    <t>Vijay Bhaskar Reddy</t>
  </si>
  <si>
    <t>yes</t>
  </si>
  <si>
    <t>I-071091</t>
  </si>
  <si>
    <t>PaymentGateway-prod-PaymentCallback-Worker-Exceptions|Communications link failure</t>
  </si>
  <si>
    <t>I-071207</t>
  </si>
  <si>
    <t>As per our investigation, we identified that the issue is due to "Communication Link Failure", which has already been highlighted to the L3 Team through the problem ticket. Reference ticket: DIGSUPPORT-16117, based on the above information, we are closing this ticket.</t>
  </si>
  <si>
    <t>I-071225</t>
  </si>
  <si>
    <t>The majority of these errors originated from the Lambda function "PaymentGateway-prod-OrdersMicroservice", specifically POST/pg/customers/{uuid}/transactions/orders/async endpoint. 3,875 identical PaymentGatewayException errors all carrying the external error code "2-CCSB000028".</t>
  </si>
  <si>
    <t>PaymentGateway-prod-Enrollment-Microservice-Exceptions|Http Response Status of Billing System API: 503</t>
  </si>
  <si>
    <t>I-071320</t>
  </si>
  <si>
    <t>The enrollment record for account 99039881 was not found in the Enrollment DB, so the service attempted a fallback call to the external Billing System API. The Billing System API outage/unavailability (HTTP 503) while retrieving enrollment details for account 99039881.</t>
  </si>
  <si>
    <t>PaymentGateway-prod-API-5XXErrors|Nequi and FRI</t>
  </si>
  <si>
    <t>I-071532</t>
  </si>
  <si>
    <t>tigo-cognito-prod-master-Monitoring-6I7LSTA3KZJH-DARApiGateway4XXErrorAlarm-1RU6CTB3HN9ZJ|403</t>
  </si>
  <si>
    <t>I-071331</t>
  </si>
  <si>
    <t>We observed that the resource path below is being affected due to a 403 status code. While reviewing the API key details, we were unable to find any relevant information.</t>
  </si>
  <si>
    <t xml:space="preserve">I-071787 </t>
  </si>
  <si>
    <t>I-071820</t>
  </si>
  <si>
    <t>tigo-cognito-prod-master-MonitoringOTP-UI11ZHWWG91S-ExternalKannelSendSMSApiFailedCOAlarm-1V16AQ48LJ175 | OTP</t>
  </si>
  <si>
    <t>I-071975</t>
  </si>
  <si>
    <t>While checking CloudWatch logs for the alarm tigo-cognito-prod-master-MonitoringOTP-UI11ZHWWG91S-ExternalKannelSendSMSApiFailedGTAlarm-10UW5IXKGEPUM, we could see KANNEL-SEND-SMS-API-FAILED caused due to "timeout of 20000ms exceeded".</t>
  </si>
  <si>
    <t xml:space="preserve">Automatic Debit Home Review </t>
  </si>
  <si>
    <t>I-068572</t>
  </si>
  <si>
    <t>We reviewed the Payment Gateway logs for the reported customer 3761979 and identified that the payment request was successfully received and processed by the Payment Gateway. The transaction successfully passed the AFS (Advanced Fraud Screening) validation, and no issues were observed within the Payment Gateway processing flow. However, during the payment authorization stage, the request was sent to CyberSource for processing and the authorization was declined with Reason Code 101.</t>
  </si>
  <si>
    <t>PaymentGateway-prod-FulfillmentCallback-Worker-Exceptions|communication link failure</t>
  </si>
  <si>
    <t>I-072297</t>
  </si>
  <si>
    <t xml:space="preserve">Observed Spike was temporary and returned to noraml without any further impact. Also We already have ticket DIGSUPPORT-16117 with the similar issue, Hence, we are closing this ticket. </t>
  </si>
  <si>
    <t>I-072407</t>
  </si>
  <si>
    <t>I-072629</t>
  </si>
  <si>
    <t xml:space="preserve">As per our analysis, we could see the alarm "tigo-cognito-prod-master-Monitoring-6I7LSTA3KZJH-LambdaThrottles-T4BHZQAJD6PY" got triggered in our TIGO AWS Console. While checking the CloudWatch Metrics of Lambda throttles, the affected Lambda isTigoID-Account-Lifecycle-Events-User-Handler-PY-prod, </t>
  </si>
  <si>
    <t>tigo-cognito-prod-master-Monitoring-6I7LSTA3KZJH-DARApiGateway5XXErrorAlarm-13T4WI2OP8WG1|EXTERNAL-APIS:BILLING-SYSTEM-GET-ACCOUNTS-API-RETURNED-INTERNAL-SERVER-ERROR</t>
  </si>
  <si>
    <t>I-072666</t>
  </si>
  <si>
    <t xml:space="preserve">Error Code: EXTERNAL-APIS:BILLING-SYSTEM-GET-ACCOUNTS-API-RETURNED-INTERNAL-SERVER-ERROR Since this synchronization step is required before initiating HE/OTP authentication, and the configuration does not allow OTP login when the billing API returns a 5xx error, this condition resulted in a failure to initiate OTP authentication. Consequently, the Lambda returned:Error Code: HE-OTP-LOGIN:ERR79 Message: "Something went wrong, please try after some time" Status Code: 500 </t>
  </si>
  <si>
    <t>tigo-cognito-prod-master-MonitoringOTP-UI11ZHWWG91S-ExternalKannelSendSMSApiFailedHNAlarm-1MZHB0S1XRBP3|The Service is temporarily unavailable</t>
  </si>
  <si>
    <t>I-072667</t>
  </si>
  <si>
    <t xml:space="preserve">While checking CloudWatch logs for the alarm tigo-cognito-prod-master-MonitoringOTP-UI11ZHWWG91S-ExternalKannelSendSMSApiFailedHNAlarm-1MZHB0S1XRBP3, we could see KANNEL-SEND-SMS-API-FAILED caused due to "The Service is temporarily unavailable" </t>
  </si>
  <si>
    <t>I-072950</t>
  </si>
  <si>
    <t>We already highlighted this issue in the ticket I-071225. Hence, we are closing this ticket.</t>
  </si>
  <si>
    <t>tigo-cognito-prod-master-Monitoring-6I7LSTA3KZJH-DARApiGateway5XXErrorAlarm-13T4WI2OP8WG1|EXTERNAL-APIS:BILLING-SYSTEM-GET-ACCOUNTS-API-TIMEOUT</t>
  </si>
  <si>
    <t>I-073218</t>
  </si>
  <si>
    <t xml:space="preserve">Error Code: EXTERNAL-APIS:BILLING-SYSTEM-GET-ACCOUNTS-API-TIMEOUT Since this synchronization step is required before initiating HE/OTP authentication, and the configuration does not allow OTP login when the billing API returns a 5xx error, this condition resulted in a failure to initiate OTP authentication. Consequently, the Lambda returned:Error Code: HE-OTP-LOGIN:ERR79 Message: "Something went wrong, please try after some time" Status Code: 500 </t>
  </si>
  <si>
    <t>I-073618</t>
  </si>
  <si>
    <t>Billing System Get Accounts API timed out during the syncAccountsByMsisdn step, impacting the account synchronization process required for trusted phone authentication. The billing system error observed is as follows:"Billing system get accounts api timed out". Error Code: EXTERNAL-APIS:BILLING-SYSTEM-GET-ACCOUNTS-API-TIMEOUT Since this synchronization step is required during the trusted phone login flow, the timeout in the Billing System API prevented the request from being processed successfully. Consequently, the Lambda returned: Error Code: EXTERNAL-APIS:BILLING-SYSTEM-GET-ACCOUNTS-API-TIMEOUT</t>
  </si>
  <si>
    <t>I-073685</t>
  </si>
  <si>
    <t>The majority of these errors originated from the Lambda function "PaymentGateway-prod-OrdersMicroservice", specifically POST/pg/customers/{uuid}/transactions/orders/async endpoint. 5497 identical PaymentGatewayException errors all carrying the external error code "2-CCSB000028".</t>
  </si>
  <si>
    <t>I-073982</t>
  </si>
  <si>
    <t>I-074143</t>
  </si>
  <si>
    <t>I-074208</t>
  </si>
  <si>
    <t>I-074517</t>
  </si>
  <si>
    <t>I-074676</t>
  </si>
  <si>
    <t>I-074678</t>
  </si>
  <si>
    <t>I-074721</t>
  </si>
  <si>
    <t>tigo-cognito-prod-master-Monitoring-6I7LSTA3KZJH-LambdaThrottles-T4BHZQAJD6PY|TigoID-Recycled-MSISDN-Worker-prod</t>
  </si>
  <si>
    <t>I-074887</t>
  </si>
  <si>
    <t>While checking the CloudWatch Metrics of Lambda throttles, the affected Lambda is TigoID-Recycled-MSISDN-Worker-prod for the given duration.</t>
  </si>
  <si>
    <t>PA - Automatic debit payment failure</t>
  </si>
  <si>
    <t>I-074746</t>
  </si>
  <si>
    <t>The transaction successfully passed the AFS (Advanced Fraud Screening) validation, and no issues were observed within the Payment Gateway processing flow. However, during the payment authorization stage, the request was sent to CyberSource for processing and the authorization was declined with Reason Code 101.</t>
  </si>
  <si>
    <t>I-075121</t>
  </si>
  <si>
    <t>We already highlighted this issue in the ticket I-075717. Hence, we are closing this ticket.</t>
  </si>
  <si>
    <t>I-075717</t>
  </si>
  <si>
    <t>[BO] ID document association failure</t>
  </si>
  <si>
    <t>I-075789</t>
  </si>
  <si>
    <t>Minor(P4)</t>
  </si>
  <si>
    <t>The request was sent to the Billing System Get Accounts API for account association. The API detected a duplicate MSISDN associated with Billing Account ID 1550687 and returned multiple accounts for the same MSISDN/document combination. Since no valid convergent account could be identified, the request failed with EXTERNAL-APIS:BILLING-SYSTEM-GET-ACCOUNTS-API-RETURNED-DUPLICATE-MSISDN.</t>
  </si>
  <si>
    <t>I-076191</t>
  </si>
  <si>
    <t>tigo-cognito-prod-master-Monitoring-6I7LSTA3KZJH-OtpApiGateway4XXErrorAlarm-KCC0X1UFXS1F|V2-PHONE-OTP:INCORRECT-OTP</t>
  </si>
  <si>
    <t>I-076490</t>
  </si>
  <si>
    <t>As per the CloudWatch logs for the alarm tigo-cognito-prod-master-Monitoring-6I7LSTA3KZJH-OtpApiGateway4XXErrorAlarm-KCC0X1UFXS1F, we identified that "TigoID OTP API Prod" Lambda function having  below errors based on the verify OTP endpoint /v2/phones/verify-otp.</t>
  </si>
  <si>
    <t>GT | Payment Gateway | By Payment Status</t>
  </si>
  <si>
    <t>I-076581</t>
  </si>
  <si>
    <t>During the payment authorization stage, the request was sent to CyberSource for processing, and the authorization was declined with Reason Code 204. As a result, the transaction could not be authorized and was marked as FAILURE.</t>
  </si>
  <si>
    <t>tigo-cognito-prod-master-Monitoring-6I7LSTA3KZJH-LambdaThrottles-T4BHZQAJD6PY|TigoID-Account-Lifecycle-Events-Validator-CR-prod</t>
  </si>
  <si>
    <t>I-076635</t>
  </si>
  <si>
    <t>tigo-cognito-prod-master-Monitoring-6I7LSTA3KZJH-EventBridgePipeExecutionFailedAlarm-NBkczsNZLVtw</t>
  </si>
  <si>
    <t>I-076742</t>
  </si>
  <si>
    <t xml:space="preserve">We noticed that the spike returned to normal within 10 minutes. As mentioned in the SOP, if a spike returns to normal within a few minutes, there is no need to escalate it. Hence, we are closing this ticket, and we will raise the new ticket if its continuously triggering. </t>
  </si>
  <si>
    <t>I-076910</t>
  </si>
  <si>
    <t>I-076926</t>
  </si>
  <si>
    <t>You can't link CI (identity document)</t>
  </si>
  <si>
    <t>I-034289</t>
  </si>
  <si>
    <t>Based on our investigation, while checking the cloudwatch logs, we could see on 3rd Aug the sync failed because the Billing System returned duplicate MSISDN records across multiple billing accounts, and there was no convergent account available to resolve the duplicate. As a result, the system treated the response as invalid data and aborted the account-link sync process.</t>
  </si>
  <si>
    <t>PaymentGateway-prod-Enrollment-Microservice-Exceptions |Http Response Status of Billing System:404</t>
  </si>
  <si>
    <t>I-077133</t>
  </si>
  <si>
    <t>Based on our investigation, while checking the cloudwatch logs,HTTP 404 error detail: Account is not enrolled with Payment Gateway.</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</si>
</sst>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dd-mmm-yyyy h:mm"/>
  </numFmts>
  <fonts count="7" x14ac:knownFonts="1">
    <font>
      <sz val="11"/>
      <color theme="1"/>
      <name val="Calibri"/>
      <family val="2"/>
      <scheme val="minor"/>
    </font>
    <font>
      <b/>
      <sz val="12"/>
      <color rgb="FF000000"/>
      <name val="Calibri"/>
      <family val="2"/>
    </font>
    <font>
      <sz val="11"/>
      <color theme="1"/>
      <name val="Calibri"/>
      <family val="2"/>
    </font>
    <font>
      <sz val="11"/>
      <color rgb="FF000000"/>
      <name val="Calibri"/>
      <family val="2"/>
    </font>
    <font>
      <sz val="11"/>
      <color rgb="FF172b4d"/>
      <name val="-Apple-System"/>
      <family val="2"/>
    </font>
    <font>
      <sz val="11"/>
      <color rgb="FF242424"/>
      <name val="Aptos Narrow"/>
      <family val="2"/>
    </font>
    <font>
      <sz val="11"/>
      <color rgb="FF444444"/>
      <name val="Calibri"/>
      <family val="2"/>
    </font>
  </fonts>
  <fills count="4">
    <fill>
      <patternFill patternType="none"/>
    </fill>
    <fill>
      <patternFill patternType="gray125"/>
    </fill>
    <fill>
      <patternFill patternType="solid">
        <fgColor rgb="FFffff00"/>
      </patternFill>
    </fill>
    <fill>
      <patternFill patternType="solid">
        <fgColor rgb="FFdae3f3"/>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c6c6c6"/>
      </bottom>
      <diagonal/>
    </border>
    <border>
      <left style="thick">
        <color rgb="FF000000"/>
      </left>
      <right style="thick">
        <color rgb="FF000000"/>
      </right>
      <top style="thick">
        <color rgb="FF000000"/>
      </top>
      <bottom style="thick">
        <color rgb="FF000000"/>
      </bottom>
      <diagonal/>
    </border>
    <border>
      <left style="thin">
        <color rgb="FFc6c6c6"/>
      </left>
      <right style="thin">
        <color rgb="FFc6c6c6"/>
      </right>
      <top style="thin">
        <color rgb="FF8faadc"/>
      </top>
      <bottom style="thin">
        <color rgb="FF8faadc"/>
      </bottom>
      <diagonal/>
    </border>
  </borders>
  <cellStyleXfs count="1">
    <xf numFmtId="0" fontId="0" fillId="0" borderId="0"/>
  </cellStyleXfs>
  <cellXfs count="38">
    <xf xfId="0" numFmtId="0" borderId="0" fontId="0" fillId="0"/>
    <xf xfId="0" numFmtId="3" applyNumberFormat="1" borderId="1" applyBorder="1" fontId="1" applyFont="1" fillId="2" applyFill="1" applyAlignment="1">
      <alignment horizontal="center"/>
    </xf>
    <xf xfId="0" numFmtId="1" applyNumberFormat="1" borderId="2" applyBorder="1" fontId="1" applyFont="1" fillId="2" applyFill="1" applyAlignment="1">
      <alignment horizontal="center"/>
    </xf>
    <xf xfId="0" numFmtId="0" borderId="2" applyBorder="1" fontId="1" applyFont="1" fillId="2" applyFill="1" applyAlignment="1">
      <alignment horizontal="center"/>
    </xf>
    <xf xfId="0" numFmtId="0" borderId="2" applyBorder="1" fontId="1" applyFont="1" fillId="2" applyFill="1" applyAlignment="1">
      <alignment horizontal="left"/>
    </xf>
    <xf xfId="0" numFmtId="1" applyNumberFormat="1" borderId="2" applyBorder="1" fontId="1" applyFont="1" fillId="2" applyFill="1" applyAlignment="1">
      <alignment horizontal="left"/>
    </xf>
    <xf xfId="0" numFmtId="21" applyNumberFormat="1" borderId="2" applyBorder="1" fontId="1" applyFont="1" fillId="2" applyFill="1" applyAlignment="1">
      <alignment horizontal="left"/>
    </xf>
    <xf xfId="0" numFmtId="46" applyNumberFormat="1" borderId="2" applyBorder="1" fontId="1" applyFont="1" fillId="2" applyFill="1" applyAlignment="1">
      <alignment horizontal="left"/>
    </xf>
    <xf xfId="0" numFmtId="3" applyNumberFormat="1" borderId="3" applyBorder="1" fontId="2" applyFont="1" fillId="3" applyFill="1" applyAlignment="1">
      <alignment horizontal="center"/>
    </xf>
    <xf xfId="0" numFmtId="164" applyNumberFormat="1" borderId="3" applyBorder="1" fontId="2" applyFont="1" fillId="3" applyFill="1" applyAlignment="1">
      <alignment horizontal="left"/>
    </xf>
    <xf xfId="0" numFmtId="0" borderId="3" applyBorder="1" fontId="2" applyFont="1" fillId="3" applyFill="1" applyAlignment="1">
      <alignment horizontal="left"/>
    </xf>
    <xf xfId="0" numFmtId="0" borderId="3" applyBorder="1" fontId="3" applyFont="1" fillId="3" applyFill="1" applyAlignment="1">
      <alignment horizontal="left"/>
    </xf>
    <xf xfId="0" numFmtId="21" applyNumberFormat="1" borderId="3" applyBorder="1" fontId="3" applyFont="1" fillId="3" applyFill="1" applyAlignment="1">
      <alignment horizontal="center"/>
    </xf>
    <xf xfId="0" numFmtId="46" applyNumberFormat="1" borderId="3" applyBorder="1" fontId="3" applyFont="1" fillId="3" applyFill="1" applyAlignment="1">
      <alignment horizontal="center"/>
    </xf>
    <xf xfId="0" numFmtId="0" borderId="3" applyBorder="1" fontId="2" applyFont="1" fillId="3" applyFill="1" applyAlignment="1">
      <alignment horizontal="center"/>
    </xf>
    <xf xfId="0" numFmtId="3" applyNumberFormat="1" borderId="3" applyBorder="1" fontId="2" applyFont="1" fillId="0" applyAlignment="1">
      <alignment horizontal="center"/>
    </xf>
    <xf xfId="0" numFmtId="164" applyNumberFormat="1" borderId="3" applyBorder="1" fontId="2" applyFont="1" fillId="0" applyAlignment="1">
      <alignment horizontal="left"/>
    </xf>
    <xf xfId="0" numFmtId="0" borderId="3" applyBorder="1" fontId="2" applyFont="1" fillId="0" applyAlignment="1">
      <alignment horizontal="left"/>
    </xf>
    <xf xfId="0" numFmtId="0" borderId="3" applyBorder="1" fontId="3" applyFont="1" fillId="0" applyAlignment="1">
      <alignment horizontal="left"/>
    </xf>
    <xf xfId="0" numFmtId="21" applyNumberFormat="1" borderId="3" applyBorder="1" fontId="3" applyFont="1" fillId="0" applyAlignment="1">
      <alignment horizontal="center"/>
    </xf>
    <xf xfId="0" numFmtId="46" applyNumberFormat="1" borderId="3" applyBorder="1" fontId="3" applyFont="1" fillId="0" applyAlignment="1">
      <alignment horizontal="center"/>
    </xf>
    <xf xfId="0" numFmtId="0" borderId="3" applyBorder="1" fontId="2" applyFont="1" fillId="0" applyAlignment="1">
      <alignment horizontal="center"/>
    </xf>
    <xf xfId="0" numFmtId="0" borderId="3" applyBorder="1" fontId="2" applyFont="1" fillId="0" applyAlignment="1">
      <alignment horizontal="left" wrapText="1"/>
    </xf>
    <xf xfId="0" numFmtId="164" applyNumberFormat="1" borderId="3" applyBorder="1" fontId="3" applyFont="1" fillId="3" applyFill="1" applyAlignment="1">
      <alignment horizontal="left"/>
    </xf>
    <xf xfId="0" numFmtId="0" borderId="3" applyBorder="1" fontId="2" applyFont="1" fillId="3" applyFill="1" applyAlignment="1">
      <alignment horizontal="left" wrapText="1"/>
    </xf>
    <xf xfId="0" numFmtId="164" applyNumberFormat="1" borderId="3" applyBorder="1" fontId="3" applyFont="1" fillId="0" applyAlignment="1">
      <alignment horizontal="left"/>
    </xf>
    <xf xfId="0" numFmtId="0" borderId="3" applyBorder="1" fontId="4" applyFont="1" fillId="0" applyAlignment="1">
      <alignment horizontal="left"/>
    </xf>
    <xf xfId="0" numFmtId="0" borderId="4" applyBorder="1" fontId="2" applyFont="1" fillId="3" applyFill="1" applyAlignment="1">
      <alignment horizontal="left"/>
    </xf>
    <xf xfId="0" numFmtId="0" borderId="3" applyBorder="1" fontId="4" applyFont="1" fillId="3" applyFill="1" applyAlignment="1">
      <alignment horizontal="left"/>
    </xf>
    <xf xfId="0" numFmtId="0" borderId="4" applyBorder="1" fontId="5" applyFont="1" fillId="3" applyFill="1" applyAlignment="1">
      <alignment horizontal="left"/>
    </xf>
    <xf xfId="0" numFmtId="0" borderId="3" applyBorder="1" fontId="6" applyFont="1" fillId="0" applyAlignment="1">
      <alignment horizontal="left"/>
    </xf>
    <xf xfId="0" numFmtId="3" applyNumberFormat="1" borderId="0" fontId="0" fillId="0" applyAlignment="1">
      <alignment horizontal="center"/>
    </xf>
    <xf xfId="0" numFmtId="1" applyNumberFormat="1" borderId="0" fontId="0" fillId="0" applyAlignment="1">
      <alignment horizontal="left"/>
    </xf>
    <xf xfId="0" numFmtId="0" borderId="0" fontId="0" fillId="0" applyAlignment="1">
      <alignment horizontal="general"/>
    </xf>
    <xf xfId="0" numFmtId="0" borderId="0" fontId="0" fillId="0" applyAlignment="1">
      <alignment horizontal="left"/>
    </xf>
    <xf xfId="0" numFmtId="21" applyNumberFormat="1" borderId="0" fontId="0" fillId="0" applyAlignment="1">
      <alignment horizontal="center"/>
    </xf>
    <xf xfId="0" numFmtId="46" applyNumberFormat="1" borderId="0" fontId="0" fillId="0" applyAlignment="1">
      <alignment horizontal="center"/>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63"/>
  <sheetViews>
    <sheetView workbookViewId="0" tabSelected="1"/>
  </sheetViews>
  <sheetFormatPr defaultRowHeight="15" x14ac:dyDescent="0.25"/>
  <cols>
    <col min="1" max="1" style="31" width="13.576428571428572" customWidth="1" bestFit="1"/>
    <col min="2" max="2" style="32" width="30.290714285714284" customWidth="1" bestFit="1"/>
    <col min="3" max="3" style="33" width="161.005" customWidth="1" bestFit="1"/>
    <col min="4" max="4" style="34" width="23.290714285714284" customWidth="1" bestFit="1"/>
    <col min="5" max="5" style="34" width="21.005" customWidth="1" bestFit="1"/>
    <col min="6" max="6" style="32" width="22.005" customWidth="1" bestFit="1"/>
    <col min="7" max="7" style="35" width="22.862142857142857" customWidth="1" bestFit="1"/>
    <col min="8" max="8" style="34" width="19.005" customWidth="1" bestFit="1"/>
    <col min="9" max="9" style="34" width="27.14785714285714" customWidth="1" bestFit="1"/>
    <col min="10" max="10" style="34" width="11.576428571428572" customWidth="1" bestFit="1"/>
    <col min="11" max="11" style="34" width="28.290714285714284" customWidth="1" bestFit="1"/>
    <col min="12" max="12" style="34" width="18.14785714285714" customWidth="1" bestFit="1"/>
    <col min="13" max="13" style="34" width="29.719285714285714" customWidth="1" bestFit="1"/>
    <col min="14" max="14" style="34" width="15.576428571428572" customWidth="1" bestFit="1"/>
    <col min="15" max="15" style="33" width="25.433571428571426" customWidth="1" bestFit="1"/>
    <col min="16" max="16" style="32" width="30.862142857142857" customWidth="1" bestFit="1"/>
    <col min="17" max="17" style="36" width="36.29071428571429" customWidth="1" bestFit="1"/>
    <col min="18" max="18" style="37" width="25.14785714285714" customWidth="1" bestFit="1"/>
    <col min="19" max="19" style="37" width="36.86214285714286" customWidth="1" bestFit="1"/>
    <col min="20" max="20" style="37" width="18.862142857142857" customWidth="1" bestFit="1"/>
  </cols>
  <sheetData>
    <row x14ac:dyDescent="0.25" r="1" customHeight="1" ht="21">
      <c r="A1" s="1" t="s">
        <v>0</v>
      </c>
      <c r="B1" s="2" t="s">
        <v>1</v>
      </c>
      <c r="C1" s="3" t="s">
        <v>2</v>
      </c>
      <c r="D1" s="4" t="s">
        <v>3</v>
      </c>
      <c r="E1" s="4" t="s">
        <v>4</v>
      </c>
      <c r="F1" s="5" t="s">
        <v>5</v>
      </c>
      <c r="G1" s="6" t="s">
        <v>6</v>
      </c>
      <c r="H1" s="4" t="s">
        <v>7</v>
      </c>
      <c r="I1" s="4" t="s">
        <v>8</v>
      </c>
      <c r="J1" s="4" t="s">
        <v>9</v>
      </c>
      <c r="K1" s="4" t="s">
        <v>10</v>
      </c>
      <c r="L1" s="4" t="s">
        <v>11</v>
      </c>
      <c r="M1" s="4" t="s">
        <v>12</v>
      </c>
      <c r="N1" s="4" t="s">
        <v>13</v>
      </c>
      <c r="O1" s="4" t="s">
        <v>14</v>
      </c>
      <c r="P1" s="5" t="s">
        <v>15</v>
      </c>
      <c r="Q1" s="7" t="s">
        <v>16</v>
      </c>
      <c r="R1" s="4" t="s">
        <v>17</v>
      </c>
      <c r="S1" s="4" t="s">
        <v>18</v>
      </c>
      <c r="T1" s="4" t="s">
        <v>19</v>
      </c>
    </row>
    <row x14ac:dyDescent="0.25" r="2" customHeight="1" ht="21">
      <c r="A2" s="8">
        <f>ROW() - 1</f>
      </c>
      <c r="B2" s="9">
        <v>46211.65972222222</v>
      </c>
      <c r="C2" s="10" t="s">
        <v>20</v>
      </c>
      <c r="D2" s="11" t="s">
        <v>21</v>
      </c>
      <c r="E2" s="10" t="s">
        <v>22</v>
      </c>
      <c r="F2" s="9">
        <v>46211.66180555556</v>
      </c>
      <c r="G2" s="12">
        <f>F2-B2</f>
        <v>25569.229166666668</v>
      </c>
      <c r="H2" s="11" t="s">
        <v>8</v>
      </c>
      <c r="I2" s="10" t="s">
        <v>23</v>
      </c>
      <c r="J2" s="11" t="s">
        <v>24</v>
      </c>
      <c r="K2" s="10" t="s">
        <v>25</v>
      </c>
      <c r="L2" s="10" t="s">
        <v>26</v>
      </c>
      <c r="M2" s="10" t="s">
        <v>27</v>
      </c>
      <c r="N2" s="10" t="s">
        <v>28</v>
      </c>
      <c r="O2" s="10" t="s">
        <v>29</v>
      </c>
      <c r="P2" s="9">
        <v>46211.69097222222</v>
      </c>
      <c r="Q2" s="13">
        <f>P2-F2</f>
        <v>25569.229166666668</v>
      </c>
      <c r="R2" s="14" t="s">
        <v>30</v>
      </c>
      <c r="S2" s="14" t="s">
        <v>30</v>
      </c>
      <c r="T2" s="14"/>
    </row>
    <row x14ac:dyDescent="0.25" r="3" customHeight="1" ht="21">
      <c r="A3" s="15">
        <f>ROW() - 1</f>
      </c>
      <c r="B3" s="16">
        <v>46211.78472222222</v>
      </c>
      <c r="C3" s="17" t="s">
        <v>31</v>
      </c>
      <c r="D3" s="18" t="s">
        <v>21</v>
      </c>
      <c r="E3" s="17" t="s">
        <v>32</v>
      </c>
      <c r="F3" s="16">
        <v>46211.78611111111</v>
      </c>
      <c r="G3" s="19">
        <f>F3-B3</f>
        <v>25569.229166666668</v>
      </c>
      <c r="H3" s="18" t="s">
        <v>8</v>
      </c>
      <c r="I3" s="17" t="s">
        <v>23</v>
      </c>
      <c r="J3" s="18" t="s">
        <v>24</v>
      </c>
      <c r="K3" s="17" t="s">
        <v>25</v>
      </c>
      <c r="L3" s="17" t="s">
        <v>33</v>
      </c>
      <c r="M3" s="17" t="s">
        <v>27</v>
      </c>
      <c r="N3" s="17" t="s">
        <v>28</v>
      </c>
      <c r="O3" s="17" t="s">
        <v>34</v>
      </c>
      <c r="P3" s="16">
        <v>46211.87222222222</v>
      </c>
      <c r="Q3" s="20">
        <f>P3-F3</f>
        <v>25569.229166666668</v>
      </c>
      <c r="R3" s="21" t="s">
        <v>30</v>
      </c>
      <c r="S3" s="21" t="s">
        <v>30</v>
      </c>
      <c r="T3" s="21"/>
    </row>
    <row x14ac:dyDescent="0.25" r="4" customHeight="1" ht="21">
      <c r="A4" s="8">
        <f>ROW() - 1</f>
      </c>
      <c r="B4" s="9">
        <v>46211.958333333336</v>
      </c>
      <c r="C4" s="10" t="s">
        <v>35</v>
      </c>
      <c r="D4" s="11" t="s">
        <v>36</v>
      </c>
      <c r="E4" s="10" t="s">
        <v>37</v>
      </c>
      <c r="F4" s="9">
        <v>46211.95972222222</v>
      </c>
      <c r="G4" s="12">
        <f>F4-B4</f>
        <v>25569.229166666668</v>
      </c>
      <c r="H4" s="11" t="s">
        <v>8</v>
      </c>
      <c r="I4" s="10" t="s">
        <v>23</v>
      </c>
      <c r="J4" s="11" t="s">
        <v>24</v>
      </c>
      <c r="K4" s="10" t="s">
        <v>38</v>
      </c>
      <c r="L4" s="10" t="s">
        <v>39</v>
      </c>
      <c r="M4" s="10" t="s">
        <v>27</v>
      </c>
      <c r="N4" s="10" t="s">
        <v>40</v>
      </c>
      <c r="O4" s="10" t="s">
        <v>41</v>
      </c>
      <c r="P4" s="9">
        <v>46212.10833333333</v>
      </c>
      <c r="Q4" s="13">
        <f>P4-F4</f>
        <v>25569.229166666668</v>
      </c>
      <c r="R4" s="14" t="s">
        <v>30</v>
      </c>
      <c r="S4" s="14" t="s">
        <v>30</v>
      </c>
      <c r="T4" s="14" t="s">
        <v>30</v>
      </c>
    </row>
    <row x14ac:dyDescent="0.25" r="5" customHeight="1" ht="21">
      <c r="A5" s="15">
        <f>ROW() - 1</f>
      </c>
      <c r="B5" s="16">
        <v>46212.083333333336</v>
      </c>
      <c r="C5" s="17" t="s">
        <v>42</v>
      </c>
      <c r="D5" s="18" t="s">
        <v>21</v>
      </c>
      <c r="E5" s="17" t="s">
        <v>43</v>
      </c>
      <c r="F5" s="16">
        <v>46212.08472222222</v>
      </c>
      <c r="G5" s="19">
        <f>F5-B5</f>
        <v>25569.229166666668</v>
      </c>
      <c r="H5" s="18" t="s">
        <v>8</v>
      </c>
      <c r="I5" s="17" t="s">
        <v>23</v>
      </c>
      <c r="J5" s="18" t="s">
        <v>24</v>
      </c>
      <c r="K5" s="17" t="s">
        <v>38</v>
      </c>
      <c r="L5" s="17" t="s">
        <v>26</v>
      </c>
      <c r="M5" s="17" t="s">
        <v>27</v>
      </c>
      <c r="N5" s="17" t="s">
        <v>28</v>
      </c>
      <c r="O5" s="17" t="s">
        <v>44</v>
      </c>
      <c r="P5" s="16">
        <v>46212.12847222222</v>
      </c>
      <c r="Q5" s="20">
        <f>P5-F5</f>
        <v>25569.229166666668</v>
      </c>
      <c r="R5" s="21" t="s">
        <v>30</v>
      </c>
      <c r="S5" s="21" t="s">
        <v>30</v>
      </c>
      <c r="T5" s="21"/>
    </row>
    <row x14ac:dyDescent="0.25" r="6" customHeight="1" ht="21">
      <c r="A6" s="8">
        <f>ROW() - 1</f>
      </c>
      <c r="B6" s="9">
        <v>46212.625</v>
      </c>
      <c r="C6" s="10" t="s">
        <v>45</v>
      </c>
      <c r="D6" s="11" t="s">
        <v>21</v>
      </c>
      <c r="E6" s="10" t="s">
        <v>46</v>
      </c>
      <c r="F6" s="9">
        <v>46212.626388888886</v>
      </c>
      <c r="G6" s="12">
        <f>F6-B6</f>
        <v>25569.229166666668</v>
      </c>
      <c r="H6" s="11" t="s">
        <v>8</v>
      </c>
      <c r="I6" s="10" t="s">
        <v>47</v>
      </c>
      <c r="J6" s="11" t="s">
        <v>24</v>
      </c>
      <c r="K6" s="10" t="s">
        <v>25</v>
      </c>
      <c r="L6" s="10" t="s">
        <v>26</v>
      </c>
      <c r="M6" s="10" t="s">
        <v>27</v>
      </c>
      <c r="N6" s="10" t="s">
        <v>28</v>
      </c>
      <c r="O6" s="10" t="s">
        <v>48</v>
      </c>
      <c r="P6" s="9">
        <v>46212.711805555555</v>
      </c>
      <c r="Q6" s="13">
        <f>P6-F6</f>
        <v>25569.229166666668</v>
      </c>
      <c r="R6" s="14" t="s">
        <v>30</v>
      </c>
      <c r="S6" s="14" t="s">
        <v>30</v>
      </c>
      <c r="T6" s="14"/>
    </row>
    <row x14ac:dyDescent="0.25" r="7" customHeight="1" ht="21">
      <c r="A7" s="15">
        <f>ROW() - 1</f>
      </c>
      <c r="B7" s="16">
        <v>46212.916666666664</v>
      </c>
      <c r="C7" s="22" t="s">
        <v>49</v>
      </c>
      <c r="D7" s="18" t="s">
        <v>36</v>
      </c>
      <c r="E7" s="17" t="s">
        <v>50</v>
      </c>
      <c r="F7" s="16">
        <v>46212.91805555556</v>
      </c>
      <c r="G7" s="19">
        <f>F7-B7</f>
        <v>25569.229166666668</v>
      </c>
      <c r="H7" s="18" t="s">
        <v>8</v>
      </c>
      <c r="I7" s="17" t="s">
        <v>23</v>
      </c>
      <c r="J7" s="18" t="s">
        <v>24</v>
      </c>
      <c r="K7" s="17" t="s">
        <v>38</v>
      </c>
      <c r="L7" s="17" t="s">
        <v>39</v>
      </c>
      <c r="M7" s="17" t="s">
        <v>27</v>
      </c>
      <c r="N7" s="17" t="s">
        <v>28</v>
      </c>
      <c r="O7" s="17" t="s">
        <v>51</v>
      </c>
      <c r="P7" s="16">
        <v>46213.03680555556</v>
      </c>
      <c r="Q7" s="20">
        <f>P7-F7</f>
        <v>25569.229166666668</v>
      </c>
      <c r="R7" s="21" t="s">
        <v>30</v>
      </c>
      <c r="S7" s="21" t="s">
        <v>30</v>
      </c>
      <c r="T7" s="21"/>
    </row>
    <row x14ac:dyDescent="0.25" r="8" customHeight="1" ht="21">
      <c r="A8" s="8">
        <f>ROW() - 1</f>
      </c>
      <c r="B8" s="9">
        <v>46213.51527777778</v>
      </c>
      <c r="C8" s="10" t="s">
        <v>52</v>
      </c>
      <c r="D8" s="11" t="s">
        <v>21</v>
      </c>
      <c r="E8" s="10" t="s">
        <v>53</v>
      </c>
      <c r="F8" s="9">
        <v>46213.51736111111</v>
      </c>
      <c r="G8" s="12">
        <f>F8-B8</f>
        <v>25569.229166666668</v>
      </c>
      <c r="H8" s="11" t="s">
        <v>8</v>
      </c>
      <c r="I8" s="10" t="s">
        <v>23</v>
      </c>
      <c r="J8" s="11" t="s">
        <v>24</v>
      </c>
      <c r="K8" s="10" t="s">
        <v>54</v>
      </c>
      <c r="L8" s="10" t="s">
        <v>26</v>
      </c>
      <c r="M8" s="10" t="s">
        <v>27</v>
      </c>
      <c r="N8" s="10" t="s">
        <v>28</v>
      </c>
      <c r="O8" s="10" t="s">
        <v>55</v>
      </c>
      <c r="P8" s="9">
        <v>46213.64236111111</v>
      </c>
      <c r="Q8" s="13">
        <f>P8-F8</f>
        <v>25569.229166666668</v>
      </c>
      <c r="R8" s="14" t="s">
        <v>30</v>
      </c>
      <c r="S8" s="14" t="s">
        <v>30</v>
      </c>
      <c r="T8" s="14"/>
    </row>
    <row x14ac:dyDescent="0.25" r="9" customHeight="1" ht="21">
      <c r="A9" s="15">
        <f>ROW() - 1</f>
      </c>
      <c r="B9" s="16">
        <v>46213.586805555555</v>
      </c>
      <c r="C9" s="17" t="s">
        <v>56</v>
      </c>
      <c r="D9" s="18" t="s">
        <v>21</v>
      </c>
      <c r="E9" s="17" t="s">
        <v>57</v>
      </c>
      <c r="F9" s="16">
        <v>46213.58819444444</v>
      </c>
      <c r="G9" s="19">
        <f>F9-B9</f>
        <v>25569.229166666668</v>
      </c>
      <c r="H9" s="18" t="s">
        <v>8</v>
      </c>
      <c r="I9" s="17" t="s">
        <v>47</v>
      </c>
      <c r="J9" s="18" t="s">
        <v>24</v>
      </c>
      <c r="K9" s="17" t="s">
        <v>25</v>
      </c>
      <c r="L9" s="17" t="s">
        <v>26</v>
      </c>
      <c r="M9" s="17" t="s">
        <v>27</v>
      </c>
      <c r="N9" s="17" t="s">
        <v>28</v>
      </c>
      <c r="O9" s="17" t="s">
        <v>58</v>
      </c>
      <c r="P9" s="16">
        <v>46213.708333333336</v>
      </c>
      <c r="Q9" s="20">
        <f>P9-F9</f>
        <v>25569.229166666668</v>
      </c>
      <c r="R9" s="21" t="s">
        <v>30</v>
      </c>
      <c r="S9" s="21" t="s">
        <v>30</v>
      </c>
      <c r="T9" s="21"/>
    </row>
    <row x14ac:dyDescent="0.25" r="10" customHeight="1" ht="21">
      <c r="A10" s="8">
        <f>ROW() - 1</f>
      </c>
      <c r="B10" s="9">
        <v>46213.77013888889</v>
      </c>
      <c r="C10" s="10" t="s">
        <v>45</v>
      </c>
      <c r="D10" s="11" t="s">
        <v>21</v>
      </c>
      <c r="E10" s="10" t="s">
        <v>59</v>
      </c>
      <c r="F10" s="9">
        <v>46213.77291666667</v>
      </c>
      <c r="G10" s="12">
        <f>F10-B10</f>
        <v>25569.229166666668</v>
      </c>
      <c r="H10" s="11" t="s">
        <v>8</v>
      </c>
      <c r="I10" s="10" t="s">
        <v>47</v>
      </c>
      <c r="J10" s="11" t="s">
        <v>24</v>
      </c>
      <c r="K10" s="10" t="s">
        <v>60</v>
      </c>
      <c r="L10" s="10" t="s">
        <v>39</v>
      </c>
      <c r="M10" s="10" t="s">
        <v>27</v>
      </c>
      <c r="N10" s="10" t="s">
        <v>40</v>
      </c>
      <c r="O10" s="10" t="s">
        <v>48</v>
      </c>
      <c r="P10" s="23">
        <v>46213.77013888889</v>
      </c>
      <c r="Q10" s="13">
        <v>1.041550925925926</v>
      </c>
      <c r="R10" s="14" t="s">
        <v>30</v>
      </c>
      <c r="S10" s="14" t="s">
        <v>30</v>
      </c>
      <c r="T10" s="14" t="s">
        <v>30</v>
      </c>
    </row>
    <row x14ac:dyDescent="0.25" r="11" customHeight="1" ht="21">
      <c r="A11" s="15">
        <f>ROW() - 1</f>
      </c>
      <c r="B11" s="16">
        <v>46213.82916666667</v>
      </c>
      <c r="C11" s="17" t="s">
        <v>61</v>
      </c>
      <c r="D11" s="18" t="s">
        <v>21</v>
      </c>
      <c r="E11" s="17" t="s">
        <v>62</v>
      </c>
      <c r="F11" s="16">
        <v>46213.82986111111</v>
      </c>
      <c r="G11" s="19">
        <f>F11-B11</f>
        <v>25569.229166666668</v>
      </c>
      <c r="H11" s="18" t="s">
        <v>8</v>
      </c>
      <c r="I11" s="17" t="s">
        <v>47</v>
      </c>
      <c r="J11" s="18" t="s">
        <v>24</v>
      </c>
      <c r="K11" s="17" t="s">
        <v>25</v>
      </c>
      <c r="L11" s="17" t="s">
        <v>33</v>
      </c>
      <c r="M11" s="17" t="s">
        <v>27</v>
      </c>
      <c r="N11" s="17" t="s">
        <v>28</v>
      </c>
      <c r="O11" s="17" t="s">
        <v>63</v>
      </c>
      <c r="P11" s="16">
        <v>46213.95277777778</v>
      </c>
      <c r="Q11" s="20">
        <v>1.041550925925926</v>
      </c>
      <c r="R11" s="21" t="s">
        <v>30</v>
      </c>
      <c r="S11" s="21" t="s">
        <v>30</v>
      </c>
      <c r="T11" s="21"/>
    </row>
    <row x14ac:dyDescent="0.25" r="12" customHeight="1" ht="21">
      <c r="A12" s="8">
        <f>ROW() - 1</f>
      </c>
      <c r="B12" s="9">
        <v>46216.504166666666</v>
      </c>
      <c r="C12" s="10" t="s">
        <v>64</v>
      </c>
      <c r="D12" s="11" t="s">
        <v>21</v>
      </c>
      <c r="E12" s="10" t="s">
        <v>65</v>
      </c>
      <c r="F12" s="9">
        <v>46216.50486111111</v>
      </c>
      <c r="G12" s="12">
        <f>F12-B12</f>
        <v>25569.229166666668</v>
      </c>
      <c r="H12" s="11" t="s">
        <v>8</v>
      </c>
      <c r="I12" s="10" t="s">
        <v>23</v>
      </c>
      <c r="J12" s="11" t="s">
        <v>24</v>
      </c>
      <c r="K12" s="10" t="s">
        <v>66</v>
      </c>
      <c r="L12" s="10" t="s">
        <v>39</v>
      </c>
      <c r="M12" s="10" t="s">
        <v>27</v>
      </c>
      <c r="N12" s="10" t="s">
        <v>40</v>
      </c>
      <c r="O12" s="10" t="s">
        <v>67</v>
      </c>
      <c r="P12" s="9">
        <v>46216.552083333336</v>
      </c>
      <c r="Q12" s="13">
        <f>P12-F12</f>
        <v>25569.229166666668</v>
      </c>
      <c r="R12" s="14" t="s">
        <v>30</v>
      </c>
      <c r="S12" s="14" t="s">
        <v>30</v>
      </c>
      <c r="T12" s="14" t="s">
        <v>30</v>
      </c>
    </row>
    <row x14ac:dyDescent="0.25" r="13" customHeight="1" ht="21">
      <c r="A13" s="15">
        <f>ROW() - 1</f>
      </c>
      <c r="B13" s="16">
        <v>46216.504166666666</v>
      </c>
      <c r="C13" s="17" t="s">
        <v>68</v>
      </c>
      <c r="D13" s="18" t="s">
        <v>69</v>
      </c>
      <c r="E13" s="17" t="s">
        <v>70</v>
      </c>
      <c r="F13" s="16">
        <v>46216.50486111111</v>
      </c>
      <c r="G13" s="19">
        <f>F13-B13</f>
        <v>25569.229166666668</v>
      </c>
      <c r="H13" s="18" t="s">
        <v>8</v>
      </c>
      <c r="I13" s="17" t="s">
        <v>23</v>
      </c>
      <c r="J13" s="18" t="s">
        <v>24</v>
      </c>
      <c r="K13" s="17" t="s">
        <v>38</v>
      </c>
      <c r="L13" s="17" t="s">
        <v>33</v>
      </c>
      <c r="M13" s="17" t="s">
        <v>27</v>
      </c>
      <c r="N13" s="17" t="s">
        <v>28</v>
      </c>
      <c r="O13" s="17" t="s">
        <v>71</v>
      </c>
      <c r="P13" s="16">
        <v>46219.885416666664</v>
      </c>
      <c r="Q13" s="20">
        <f>P13-F13</f>
        <v>25569.229166666668</v>
      </c>
      <c r="R13" s="21"/>
      <c r="S13" s="21"/>
      <c r="T13" s="21"/>
    </row>
    <row x14ac:dyDescent="0.25" r="14" customHeight="1" ht="21">
      <c r="A14" s="8">
        <f>ROW() - 1</f>
      </c>
      <c r="B14" s="9">
        <v>46217.17083333333</v>
      </c>
      <c r="C14" s="10" t="s">
        <v>72</v>
      </c>
      <c r="D14" s="11" t="s">
        <v>21</v>
      </c>
      <c r="E14" s="10" t="s">
        <v>73</v>
      </c>
      <c r="F14" s="9">
        <v>46217.17222222222</v>
      </c>
      <c r="G14" s="12">
        <f>F14-B14</f>
        <v>25569.229166666668</v>
      </c>
      <c r="H14" s="11" t="s">
        <v>8</v>
      </c>
      <c r="I14" s="10" t="s">
        <v>47</v>
      </c>
      <c r="J14" s="11" t="s">
        <v>24</v>
      </c>
      <c r="K14" s="10" t="s">
        <v>25</v>
      </c>
      <c r="L14" s="10" t="s">
        <v>33</v>
      </c>
      <c r="M14" s="10" t="s">
        <v>27</v>
      </c>
      <c r="N14" s="10" t="s">
        <v>28</v>
      </c>
      <c r="O14" s="10" t="s">
        <v>74</v>
      </c>
      <c r="P14" s="9">
        <v>46217.229166666664</v>
      </c>
      <c r="Q14" s="13">
        <f>P14-F14</f>
        <v>25569.229166666668</v>
      </c>
      <c r="R14" s="14" t="s">
        <v>30</v>
      </c>
      <c r="S14" s="14" t="s">
        <v>30</v>
      </c>
      <c r="T14" s="14"/>
    </row>
    <row x14ac:dyDescent="0.25" r="15" customHeight="1" ht="21">
      <c r="A15" s="15">
        <f>ROW() - 1</f>
      </c>
      <c r="B15" s="16">
        <v>46217.49652777778</v>
      </c>
      <c r="C15" s="17" t="s">
        <v>75</v>
      </c>
      <c r="D15" s="18" t="s">
        <v>21</v>
      </c>
      <c r="E15" s="17" t="s">
        <v>76</v>
      </c>
      <c r="F15" s="16">
        <v>46217.49722222222</v>
      </c>
      <c r="G15" s="19">
        <f>F15-B15</f>
        <v>25569.229166666668</v>
      </c>
      <c r="H15" s="18" t="s">
        <v>8</v>
      </c>
      <c r="I15" s="17" t="s">
        <v>23</v>
      </c>
      <c r="J15" s="18" t="s">
        <v>24</v>
      </c>
      <c r="K15" s="17" t="s">
        <v>66</v>
      </c>
      <c r="L15" s="17" t="s">
        <v>33</v>
      </c>
      <c r="M15" s="17" t="s">
        <v>27</v>
      </c>
      <c r="N15" s="17" t="s">
        <v>28</v>
      </c>
      <c r="O15" s="17" t="s">
        <v>77</v>
      </c>
      <c r="P15" s="16">
        <v>46217.5625</v>
      </c>
      <c r="Q15" s="20">
        <f>P15-F15</f>
        <v>25569.229166666668</v>
      </c>
      <c r="R15" s="21" t="s">
        <v>30</v>
      </c>
      <c r="S15" s="21" t="s">
        <v>30</v>
      </c>
      <c r="T15" s="21"/>
    </row>
    <row x14ac:dyDescent="0.25" r="16" customHeight="1" ht="21">
      <c r="A16" s="8">
        <f>ROW() - 1</f>
      </c>
      <c r="B16" s="9">
        <v>46217.791666666664</v>
      </c>
      <c r="C16" s="10" t="s">
        <v>42</v>
      </c>
      <c r="D16" s="11" t="s">
        <v>21</v>
      </c>
      <c r="E16" s="24" t="s">
        <v>78</v>
      </c>
      <c r="F16" s="9">
        <v>46217.79583333333</v>
      </c>
      <c r="G16" s="12">
        <f>F16-B16</f>
        <v>25569.229166666668</v>
      </c>
      <c r="H16" s="11" t="s">
        <v>8</v>
      </c>
      <c r="I16" s="10" t="s">
        <v>23</v>
      </c>
      <c r="J16" s="11" t="s">
        <v>24</v>
      </c>
      <c r="K16" s="10" t="s">
        <v>38</v>
      </c>
      <c r="L16" s="10" t="s">
        <v>26</v>
      </c>
      <c r="M16" s="10" t="s">
        <v>27</v>
      </c>
      <c r="N16" s="10" t="s">
        <v>28</v>
      </c>
      <c r="O16" s="10" t="s">
        <v>44</v>
      </c>
      <c r="P16" s="9">
        <v>46217.868055555555</v>
      </c>
      <c r="Q16" s="13">
        <f>P16-F16</f>
        <v>25569.229166666668</v>
      </c>
      <c r="R16" s="14" t="s">
        <v>30</v>
      </c>
      <c r="S16" s="14" t="s">
        <v>30</v>
      </c>
      <c r="T16" s="14"/>
    </row>
    <row x14ac:dyDescent="0.25" r="17" customHeight="1" ht="21">
      <c r="A17" s="15">
        <f>ROW() - 1</f>
      </c>
      <c r="B17" s="16">
        <v>46218.03333333333</v>
      </c>
      <c r="C17" s="17" t="s">
        <v>79</v>
      </c>
      <c r="D17" s="18" t="s">
        <v>69</v>
      </c>
      <c r="E17" s="17" t="s">
        <v>80</v>
      </c>
      <c r="F17" s="16">
        <v>46218.03472222222</v>
      </c>
      <c r="G17" s="19">
        <f>F17-B17</f>
        <v>25569.229166666668</v>
      </c>
      <c r="H17" s="18" t="s">
        <v>8</v>
      </c>
      <c r="I17" s="17" t="s">
        <v>23</v>
      </c>
      <c r="J17" s="18" t="s">
        <v>81</v>
      </c>
      <c r="K17" s="17" t="s">
        <v>25</v>
      </c>
      <c r="L17" s="17" t="s">
        <v>33</v>
      </c>
      <c r="M17" s="17" t="s">
        <v>27</v>
      </c>
      <c r="N17" s="17" t="s">
        <v>28</v>
      </c>
      <c r="O17" s="17" t="s">
        <v>82</v>
      </c>
      <c r="P17" s="16">
        <v>46218.055555555555</v>
      </c>
      <c r="Q17" s="20">
        <f>P17-F17</f>
        <v>25569.229166666668</v>
      </c>
      <c r="R17" s="21" t="s">
        <v>30</v>
      </c>
      <c r="S17" s="21" t="s">
        <v>30</v>
      </c>
      <c r="T17" s="21"/>
    </row>
    <row x14ac:dyDescent="0.25" r="18" customHeight="1" ht="21">
      <c r="A18" s="8">
        <f>ROW() - 1</f>
      </c>
      <c r="B18" s="9">
        <v>46218.072916666664</v>
      </c>
      <c r="C18" s="10" t="s">
        <v>83</v>
      </c>
      <c r="D18" s="11" t="s">
        <v>21</v>
      </c>
      <c r="E18" s="10" t="s">
        <v>84</v>
      </c>
      <c r="F18" s="9">
        <v>46218.072916666664</v>
      </c>
      <c r="G18" s="12">
        <f>F18-B18</f>
        <v>25569.229166666668</v>
      </c>
      <c r="H18" s="11" t="s">
        <v>8</v>
      </c>
      <c r="I18" s="10" t="s">
        <v>23</v>
      </c>
      <c r="J18" s="11" t="s">
        <v>24</v>
      </c>
      <c r="K18" s="10" t="s">
        <v>25</v>
      </c>
      <c r="L18" s="10" t="s">
        <v>33</v>
      </c>
      <c r="M18" s="10" t="s">
        <v>27</v>
      </c>
      <c r="N18" s="10" t="s">
        <v>28</v>
      </c>
      <c r="O18" s="10" t="s">
        <v>85</v>
      </c>
      <c r="P18" s="9">
        <v>46218.104166666664</v>
      </c>
      <c r="Q18" s="13">
        <f>P18-F18</f>
        <v>25569.229166666668</v>
      </c>
      <c r="R18" s="14" t="s">
        <v>30</v>
      </c>
      <c r="S18" s="14" t="s">
        <v>30</v>
      </c>
      <c r="T18" s="14"/>
    </row>
    <row x14ac:dyDescent="0.25" r="19" customHeight="1" ht="21">
      <c r="A19" s="15">
        <f>ROW() - 1</f>
      </c>
      <c r="B19" s="16">
        <v>46218.458333333336</v>
      </c>
      <c r="C19" s="17" t="s">
        <v>86</v>
      </c>
      <c r="D19" s="18" t="s">
        <v>21</v>
      </c>
      <c r="E19" s="17" t="s">
        <v>87</v>
      </c>
      <c r="F19" s="16">
        <v>46218.459027777775</v>
      </c>
      <c r="G19" s="19">
        <f>F19-B19</f>
        <v>25569.229166666668</v>
      </c>
      <c r="H19" s="18" t="s">
        <v>8</v>
      </c>
      <c r="I19" s="17" t="s">
        <v>47</v>
      </c>
      <c r="J19" s="18" t="s">
        <v>24</v>
      </c>
      <c r="K19" s="17" t="s">
        <v>66</v>
      </c>
      <c r="L19" s="17" t="s">
        <v>39</v>
      </c>
      <c r="M19" s="17" t="s">
        <v>27</v>
      </c>
      <c r="N19" s="17" t="s">
        <v>40</v>
      </c>
      <c r="O19" s="17" t="s">
        <v>88</v>
      </c>
      <c r="P19" s="16">
        <v>46218.48611111111</v>
      </c>
      <c r="Q19" s="20">
        <f>P19-F19</f>
        <v>25569.229166666668</v>
      </c>
      <c r="R19" s="21" t="s">
        <v>30</v>
      </c>
      <c r="S19" s="21" t="s">
        <v>30</v>
      </c>
      <c r="T19" s="21" t="s">
        <v>30</v>
      </c>
    </row>
    <row x14ac:dyDescent="0.25" r="20" customHeight="1" ht="21">
      <c r="A20" s="8">
        <f>ROW() - 1</f>
      </c>
      <c r="B20" s="9">
        <v>46218.947222222225</v>
      </c>
      <c r="C20" s="10" t="s">
        <v>89</v>
      </c>
      <c r="D20" s="11" t="s">
        <v>69</v>
      </c>
      <c r="E20" s="10" t="s">
        <v>90</v>
      </c>
      <c r="F20" s="9">
        <v>46218.95416666667</v>
      </c>
      <c r="G20" s="12">
        <f>F20-B20</f>
        <v>25569.229166666668</v>
      </c>
      <c r="H20" s="11" t="s">
        <v>8</v>
      </c>
      <c r="I20" s="10" t="s">
        <v>23</v>
      </c>
      <c r="J20" s="11" t="s">
        <v>81</v>
      </c>
      <c r="K20" s="10" t="s">
        <v>25</v>
      </c>
      <c r="L20" s="10" t="s">
        <v>33</v>
      </c>
      <c r="M20" s="10" t="s">
        <v>27</v>
      </c>
      <c r="N20" s="10" t="s">
        <v>28</v>
      </c>
      <c r="O20" s="10" t="s">
        <v>91</v>
      </c>
      <c r="P20" s="9">
        <v>46218.98055555556</v>
      </c>
      <c r="Q20" s="13">
        <f>P20-F20</f>
        <v>25569.229166666668</v>
      </c>
      <c r="R20" s="14" t="s">
        <v>30</v>
      </c>
      <c r="S20" s="14" t="s">
        <v>30</v>
      </c>
      <c r="T20" s="14"/>
    </row>
    <row x14ac:dyDescent="0.25" r="21" customHeight="1" ht="18.75">
      <c r="A21" s="15">
        <f>ROW() - 1</f>
      </c>
      <c r="B21" s="16">
        <v>46219.26388888889</v>
      </c>
      <c r="C21" s="17" t="s">
        <v>92</v>
      </c>
      <c r="D21" s="18" t="s">
        <v>69</v>
      </c>
      <c r="E21" s="17" t="s">
        <v>93</v>
      </c>
      <c r="F21" s="16">
        <v>46219.26944444444</v>
      </c>
      <c r="G21" s="19">
        <f>F21-B21</f>
        <v>25569.229166666668</v>
      </c>
      <c r="H21" s="18" t="s">
        <v>8</v>
      </c>
      <c r="I21" s="17" t="s">
        <v>47</v>
      </c>
      <c r="J21" s="18" t="s">
        <v>81</v>
      </c>
      <c r="K21" s="17" t="s">
        <v>25</v>
      </c>
      <c r="L21" s="17" t="s">
        <v>33</v>
      </c>
      <c r="M21" s="17" t="s">
        <v>27</v>
      </c>
      <c r="N21" s="17" t="s">
        <v>28</v>
      </c>
      <c r="O21" s="17" t="s">
        <v>94</v>
      </c>
      <c r="P21" s="16">
        <v>46219.29861111111</v>
      </c>
      <c r="Q21" s="20">
        <f>P21-F21</f>
        <v>25569.229166666668</v>
      </c>
      <c r="R21" s="21" t="s">
        <v>30</v>
      </c>
      <c r="S21" s="21" t="s">
        <v>30</v>
      </c>
      <c r="T21" s="21"/>
    </row>
    <row x14ac:dyDescent="0.25" r="22" customHeight="1" ht="18.75">
      <c r="A22" s="8">
        <f>ROW() - 1</f>
      </c>
      <c r="B22" s="9">
        <v>46219.395833333336</v>
      </c>
      <c r="C22" s="10" t="s">
        <v>95</v>
      </c>
      <c r="D22" s="11" t="s">
        <v>21</v>
      </c>
      <c r="E22" s="10" t="s">
        <v>96</v>
      </c>
      <c r="F22" s="9">
        <v>46219.396527777775</v>
      </c>
      <c r="G22" s="12">
        <f>F22-B22</f>
        <v>25569.229166666668</v>
      </c>
      <c r="H22" s="11" t="s">
        <v>8</v>
      </c>
      <c r="I22" s="10" t="s">
        <v>47</v>
      </c>
      <c r="J22" s="11" t="s">
        <v>24</v>
      </c>
      <c r="K22" s="10" t="s">
        <v>66</v>
      </c>
      <c r="L22" s="10" t="s">
        <v>33</v>
      </c>
      <c r="M22" s="10" t="s">
        <v>27</v>
      </c>
      <c r="N22" s="10" t="s">
        <v>28</v>
      </c>
      <c r="O22" s="10" t="s">
        <v>97</v>
      </c>
      <c r="P22" s="9">
        <v>46219.46527777778</v>
      </c>
      <c r="Q22" s="13">
        <f>P22-F22</f>
        <v>25569.229166666668</v>
      </c>
      <c r="R22" s="14" t="s">
        <v>30</v>
      </c>
      <c r="S22" s="14" t="s">
        <v>30</v>
      </c>
      <c r="T22" s="14"/>
    </row>
    <row x14ac:dyDescent="0.25" r="23" customHeight="1" ht="18.75">
      <c r="A23" s="15">
        <f>ROW() - 1</f>
      </c>
      <c r="B23" s="16">
        <v>46219.62847222222</v>
      </c>
      <c r="C23" s="17" t="s">
        <v>45</v>
      </c>
      <c r="D23" s="18" t="s">
        <v>21</v>
      </c>
      <c r="E23" s="17" t="s">
        <v>98</v>
      </c>
      <c r="F23" s="16">
        <v>46219.62986111111</v>
      </c>
      <c r="G23" s="19">
        <f>F23-B23</f>
        <v>25569.229166666668</v>
      </c>
      <c r="H23" s="18" t="s">
        <v>8</v>
      </c>
      <c r="I23" s="17" t="s">
        <v>47</v>
      </c>
      <c r="J23" s="18" t="s">
        <v>24</v>
      </c>
      <c r="K23" s="17" t="s">
        <v>99</v>
      </c>
      <c r="L23" s="17" t="s">
        <v>39</v>
      </c>
      <c r="M23" s="17" t="s">
        <v>27</v>
      </c>
      <c r="N23" s="17" t="s">
        <v>40</v>
      </c>
      <c r="O23" s="17" t="s">
        <v>48</v>
      </c>
      <c r="P23" s="16">
        <v>46219.700694444444</v>
      </c>
      <c r="Q23" s="20">
        <f>P23-F23</f>
        <v>25569.229166666668</v>
      </c>
      <c r="R23" s="21" t="s">
        <v>30</v>
      </c>
      <c r="S23" s="21" t="s">
        <v>30</v>
      </c>
      <c r="T23" s="21" t="s">
        <v>100</v>
      </c>
    </row>
    <row x14ac:dyDescent="0.25" r="24" customHeight="1" ht="18.75">
      <c r="A24" s="8">
        <f>ROW() - 1</f>
      </c>
      <c r="B24" s="9">
        <v>46220.506944444445</v>
      </c>
      <c r="C24" s="10" t="s">
        <v>64</v>
      </c>
      <c r="D24" s="11" t="s">
        <v>21</v>
      </c>
      <c r="E24" s="10" t="s">
        <v>101</v>
      </c>
      <c r="F24" s="9">
        <v>46220.50763888889</v>
      </c>
      <c r="G24" s="12">
        <f>F24-B24</f>
        <v>25569.229166666668</v>
      </c>
      <c r="H24" s="11" t="s">
        <v>8</v>
      </c>
      <c r="I24" s="10" t="s">
        <v>23</v>
      </c>
      <c r="J24" s="11" t="s">
        <v>24</v>
      </c>
      <c r="K24" s="10" t="s">
        <v>66</v>
      </c>
      <c r="L24" s="10" t="s">
        <v>39</v>
      </c>
      <c r="M24" s="10" t="s">
        <v>27</v>
      </c>
      <c r="N24" s="10" t="s">
        <v>40</v>
      </c>
      <c r="O24" s="10" t="s">
        <v>67</v>
      </c>
      <c r="P24" s="9">
        <v>46220.52777777778</v>
      </c>
      <c r="Q24" s="13">
        <f>P24-F24</f>
        <v>25569.229166666668</v>
      </c>
      <c r="R24" s="14" t="s">
        <v>30</v>
      </c>
      <c r="S24" s="14" t="s">
        <v>30</v>
      </c>
      <c r="T24" s="14" t="s">
        <v>30</v>
      </c>
    </row>
    <row x14ac:dyDescent="0.25" r="25" customHeight="1" ht="18.75">
      <c r="A25" s="15">
        <f>ROW() - 1</f>
      </c>
      <c r="B25" s="16">
        <v>46220.96666666667</v>
      </c>
      <c r="C25" s="17" t="s">
        <v>102</v>
      </c>
      <c r="D25" s="18" t="s">
        <v>21</v>
      </c>
      <c r="E25" s="17" t="s">
        <v>103</v>
      </c>
      <c r="F25" s="16">
        <v>46220.96875</v>
      </c>
      <c r="G25" s="19">
        <f>F25-B25</f>
        <v>25569.229166666668</v>
      </c>
      <c r="H25" s="17" t="s">
        <v>8</v>
      </c>
      <c r="I25" s="17" t="s">
        <v>47</v>
      </c>
      <c r="J25" s="18" t="s">
        <v>24</v>
      </c>
      <c r="K25" s="17" t="s">
        <v>60</v>
      </c>
      <c r="L25" s="17" t="s">
        <v>39</v>
      </c>
      <c r="M25" s="17" t="s">
        <v>27</v>
      </c>
      <c r="N25" s="17" t="s">
        <v>40</v>
      </c>
      <c r="O25" s="17" t="s">
        <v>104</v>
      </c>
      <c r="P25" s="25">
        <v>46221.010416666664</v>
      </c>
      <c r="Q25" s="20">
        <v>1.041550925925926</v>
      </c>
      <c r="R25" s="21" t="s">
        <v>30</v>
      </c>
      <c r="S25" s="21" t="s">
        <v>30</v>
      </c>
      <c r="T25" s="21" t="s">
        <v>30</v>
      </c>
    </row>
    <row x14ac:dyDescent="0.25" r="26" customHeight="1" ht="18.75">
      <c r="A26" s="8">
        <f>ROW() - 1</f>
      </c>
      <c r="B26" s="9">
        <v>46221.001388888886</v>
      </c>
      <c r="C26" s="10" t="s">
        <v>72</v>
      </c>
      <c r="D26" s="11" t="s">
        <v>21</v>
      </c>
      <c r="E26" s="10" t="s">
        <v>105</v>
      </c>
      <c r="F26" s="9">
        <v>46221.00277777778</v>
      </c>
      <c r="G26" s="12">
        <f>F26-B26</f>
        <v>25569.229166666668</v>
      </c>
      <c r="H26" s="10" t="s">
        <v>8</v>
      </c>
      <c r="I26" s="10" t="s">
        <v>47</v>
      </c>
      <c r="J26" s="11" t="s">
        <v>24</v>
      </c>
      <c r="K26" s="10" t="s">
        <v>25</v>
      </c>
      <c r="L26" s="10" t="s">
        <v>33</v>
      </c>
      <c r="M26" s="10" t="s">
        <v>27</v>
      </c>
      <c r="N26" s="10" t="s">
        <v>28</v>
      </c>
      <c r="O26" s="10" t="s">
        <v>106</v>
      </c>
      <c r="P26" s="23">
        <v>46221.029861111114</v>
      </c>
      <c r="Q26" s="13">
        <v>1.041550925925926</v>
      </c>
      <c r="R26" s="14" t="s">
        <v>30</v>
      </c>
      <c r="S26" s="14" t="s">
        <v>30</v>
      </c>
      <c r="T26" s="14"/>
    </row>
    <row x14ac:dyDescent="0.25" r="27" customHeight="1" ht="18.75">
      <c r="A27" s="15">
        <f>ROW() - 1</f>
      </c>
      <c r="B27" s="16">
        <v>46221.126388888886</v>
      </c>
      <c r="C27" s="17" t="s">
        <v>107</v>
      </c>
      <c r="D27" s="18" t="s">
        <v>21</v>
      </c>
      <c r="E27" s="17" t="s">
        <v>108</v>
      </c>
      <c r="F27" s="16">
        <v>46221.12777777778</v>
      </c>
      <c r="G27" s="19">
        <f>F27-B27</f>
        <v>25569.229166666668</v>
      </c>
      <c r="H27" s="18" t="s">
        <v>8</v>
      </c>
      <c r="I27" s="17" t="s">
        <v>47</v>
      </c>
      <c r="J27" s="18" t="s">
        <v>24</v>
      </c>
      <c r="K27" s="17" t="s">
        <v>38</v>
      </c>
      <c r="L27" s="17" t="s">
        <v>26</v>
      </c>
      <c r="M27" s="17" t="s">
        <v>27</v>
      </c>
      <c r="N27" s="17" t="s">
        <v>28</v>
      </c>
      <c r="O27" s="26" t="s">
        <v>109</v>
      </c>
      <c r="P27" s="25">
        <v>46221.19652777778</v>
      </c>
      <c r="Q27" s="20">
        <f>P27-F27</f>
        <v>25569.229166666668</v>
      </c>
      <c r="R27" s="21" t="s">
        <v>30</v>
      </c>
      <c r="S27" s="21" t="s">
        <v>30</v>
      </c>
      <c r="T27" s="21" t="s">
        <v>30</v>
      </c>
    </row>
    <row x14ac:dyDescent="0.25" r="28" customHeight="1" ht="18.75">
      <c r="A28" s="8">
        <f>ROW() - 1</f>
      </c>
      <c r="B28" s="9">
        <v>46223.447916666664</v>
      </c>
      <c r="C28" s="10" t="s">
        <v>110</v>
      </c>
      <c r="D28" s="11" t="s">
        <v>21</v>
      </c>
      <c r="E28" s="27" t="s">
        <v>111</v>
      </c>
      <c r="F28" s="9">
        <v>46223.44861111111</v>
      </c>
      <c r="G28" s="12">
        <f>F28-B28</f>
        <v>25569.229166666668</v>
      </c>
      <c r="H28" s="11" t="s">
        <v>8</v>
      </c>
      <c r="I28" s="10" t="s">
        <v>47</v>
      </c>
      <c r="J28" s="11" t="s">
        <v>24</v>
      </c>
      <c r="K28" s="10" t="s">
        <v>66</v>
      </c>
      <c r="L28" s="10" t="s">
        <v>33</v>
      </c>
      <c r="M28" s="10" t="s">
        <v>27</v>
      </c>
      <c r="N28" s="10" t="s">
        <v>28</v>
      </c>
      <c r="O28" s="10" t="s">
        <v>97</v>
      </c>
      <c r="P28" s="9">
        <v>46223.49652777778</v>
      </c>
      <c r="Q28" s="13">
        <f>P28-F28</f>
        <v>25569.229166666668</v>
      </c>
      <c r="R28" s="14" t="s">
        <v>30</v>
      </c>
      <c r="S28" s="14" t="s">
        <v>30</v>
      </c>
      <c r="T28" s="14"/>
    </row>
    <row x14ac:dyDescent="0.25" r="29" customHeight="1" ht="18.75">
      <c r="A29" s="15">
        <f>ROW() - 1</f>
      </c>
      <c r="B29" s="16">
        <v>46221.126388888886</v>
      </c>
      <c r="C29" s="17" t="s">
        <v>112</v>
      </c>
      <c r="D29" s="18" t="s">
        <v>21</v>
      </c>
      <c r="E29" s="17" t="s">
        <v>113</v>
      </c>
      <c r="F29" s="16">
        <v>46221.12777777778</v>
      </c>
      <c r="G29" s="19">
        <f>F29-B29</f>
        <v>25569.229166666668</v>
      </c>
      <c r="H29" s="18" t="s">
        <v>8</v>
      </c>
      <c r="I29" s="17" t="s">
        <v>47</v>
      </c>
      <c r="J29" s="18" t="s">
        <v>24</v>
      </c>
      <c r="K29" s="17" t="s">
        <v>38</v>
      </c>
      <c r="L29" s="17" t="s">
        <v>26</v>
      </c>
      <c r="M29" s="17" t="s">
        <v>27</v>
      </c>
      <c r="N29" s="17" t="s">
        <v>28</v>
      </c>
      <c r="O29" s="26" t="s">
        <v>114</v>
      </c>
      <c r="P29" s="16">
        <v>46224.029861111114</v>
      </c>
      <c r="Q29" s="20">
        <f>P29-F29</f>
        <v>25569.229166666668</v>
      </c>
      <c r="R29" s="21" t="s">
        <v>30</v>
      </c>
      <c r="S29" s="21" t="s">
        <v>30</v>
      </c>
      <c r="T29" s="21"/>
    </row>
    <row x14ac:dyDescent="0.25" r="30" customHeight="1" ht="18.75">
      <c r="A30" s="8">
        <f>ROW() - 1</f>
      </c>
      <c r="B30" s="9">
        <v>46224.37847222222</v>
      </c>
      <c r="C30" s="10" t="s">
        <v>64</v>
      </c>
      <c r="D30" s="11" t="s">
        <v>21</v>
      </c>
      <c r="E30" s="10" t="s">
        <v>115</v>
      </c>
      <c r="F30" s="9">
        <v>46224.379166666666</v>
      </c>
      <c r="G30" s="12">
        <f>F30-B30</f>
        <v>25569.229166666668</v>
      </c>
      <c r="H30" s="11" t="s">
        <v>8</v>
      </c>
      <c r="I30" s="10" t="s">
        <v>23</v>
      </c>
      <c r="J30" s="11" t="s">
        <v>24</v>
      </c>
      <c r="K30" s="10" t="s">
        <v>66</v>
      </c>
      <c r="L30" s="10" t="s">
        <v>39</v>
      </c>
      <c r="M30" s="10" t="s">
        <v>27</v>
      </c>
      <c r="N30" s="10" t="s">
        <v>40</v>
      </c>
      <c r="O30" s="10" t="s">
        <v>67</v>
      </c>
      <c r="P30" s="9">
        <v>46224.413194444445</v>
      </c>
      <c r="Q30" s="13">
        <f>P30-F30</f>
        <v>25569.229166666668</v>
      </c>
      <c r="R30" s="14" t="s">
        <v>30</v>
      </c>
      <c r="S30" s="14" t="s">
        <v>30</v>
      </c>
      <c r="T30" s="14" t="s">
        <v>30</v>
      </c>
    </row>
    <row x14ac:dyDescent="0.25" r="31" customHeight="1" ht="18.75">
      <c r="A31" s="15">
        <f>ROW() - 1</f>
      </c>
      <c r="B31" s="16">
        <v>46224.604166666664</v>
      </c>
      <c r="C31" s="17" t="s">
        <v>86</v>
      </c>
      <c r="D31" s="18" t="s">
        <v>21</v>
      </c>
      <c r="E31" s="17" t="s">
        <v>116</v>
      </c>
      <c r="F31" s="16">
        <v>46224.60555555556</v>
      </c>
      <c r="G31" s="19">
        <f>F31-B31</f>
        <v>25569.229166666668</v>
      </c>
      <c r="H31" s="18" t="s">
        <v>8</v>
      </c>
      <c r="I31" s="17" t="s">
        <v>47</v>
      </c>
      <c r="J31" s="18" t="s">
        <v>24</v>
      </c>
      <c r="K31" s="17" t="s">
        <v>60</v>
      </c>
      <c r="L31" s="17" t="s">
        <v>39</v>
      </c>
      <c r="M31" s="17" t="s">
        <v>27</v>
      </c>
      <c r="N31" s="17" t="s">
        <v>40</v>
      </c>
      <c r="O31" s="17" t="s">
        <v>88</v>
      </c>
      <c r="P31" s="25">
        <v>46224.635416666664</v>
      </c>
      <c r="Q31" s="20">
        <f>P31-F31</f>
        <v>25569.229166666668</v>
      </c>
      <c r="R31" s="21" t="s">
        <v>30</v>
      </c>
      <c r="S31" s="21" t="s">
        <v>30</v>
      </c>
      <c r="T31" s="21" t="s">
        <v>30</v>
      </c>
    </row>
    <row x14ac:dyDescent="0.25" r="32" customHeight="1" ht="18.75">
      <c r="A32" s="8">
        <f>ROW() - 1</f>
      </c>
      <c r="B32" s="9">
        <v>46224.895833333336</v>
      </c>
      <c r="C32" s="11" t="s">
        <v>117</v>
      </c>
      <c r="D32" s="11" t="s">
        <v>21</v>
      </c>
      <c r="E32" s="10" t="s">
        <v>118</v>
      </c>
      <c r="F32" s="9">
        <v>46224.89722222222</v>
      </c>
      <c r="G32" s="12">
        <f>F32-B32</f>
        <v>25569.229166666668</v>
      </c>
      <c r="H32" s="11" t="s">
        <v>8</v>
      </c>
      <c r="I32" s="10" t="s">
        <v>23</v>
      </c>
      <c r="J32" s="11" t="s">
        <v>24</v>
      </c>
      <c r="K32" s="10" t="s">
        <v>25</v>
      </c>
      <c r="L32" s="10" t="s">
        <v>33</v>
      </c>
      <c r="M32" s="10" t="s">
        <v>27</v>
      </c>
      <c r="N32" s="10" t="s">
        <v>28</v>
      </c>
      <c r="O32" s="10" t="s">
        <v>119</v>
      </c>
      <c r="P32" s="23">
        <v>46224.947916666664</v>
      </c>
      <c r="Q32" s="13">
        <f>P32-F32</f>
        <v>25569.229166666668</v>
      </c>
      <c r="R32" s="14" t="s">
        <v>30</v>
      </c>
      <c r="S32" s="14" t="s">
        <v>30</v>
      </c>
      <c r="T32" s="14"/>
    </row>
    <row x14ac:dyDescent="0.25" r="33" customHeight="1" ht="18.75">
      <c r="A33" s="15">
        <f>ROW() - 1</f>
      </c>
      <c r="B33" s="16">
        <v>46225.427083333336</v>
      </c>
      <c r="C33" s="18" t="s">
        <v>120</v>
      </c>
      <c r="D33" s="18" t="s">
        <v>69</v>
      </c>
      <c r="E33" s="17" t="s">
        <v>121</v>
      </c>
      <c r="F33" s="16">
        <v>46225.427777777775</v>
      </c>
      <c r="G33" s="19">
        <f>F33-B33</f>
        <v>25569.229166666668</v>
      </c>
      <c r="H33" s="18" t="s">
        <v>8</v>
      </c>
      <c r="I33" s="17" t="s">
        <v>47</v>
      </c>
      <c r="J33" s="18" t="s">
        <v>24</v>
      </c>
      <c r="K33" s="17" t="s">
        <v>66</v>
      </c>
      <c r="L33" s="17" t="s">
        <v>33</v>
      </c>
      <c r="M33" s="17" t="s">
        <v>27</v>
      </c>
      <c r="N33" s="17" t="s">
        <v>28</v>
      </c>
      <c r="O33" s="17" t="s">
        <v>122</v>
      </c>
      <c r="P33" s="16">
        <v>46225.52777777778</v>
      </c>
      <c r="Q33" s="20">
        <f>P33-F33</f>
        <v>25569.229166666668</v>
      </c>
      <c r="R33" s="21" t="s">
        <v>30</v>
      </c>
      <c r="S33" s="21" t="s">
        <v>30</v>
      </c>
      <c r="T33" s="21"/>
    </row>
    <row x14ac:dyDescent="0.25" r="34" customHeight="1" ht="18.75">
      <c r="A34" s="8">
        <f>ROW() - 1</f>
      </c>
      <c r="B34" s="9">
        <v>46225.770833333336</v>
      </c>
      <c r="C34" s="10" t="s">
        <v>123</v>
      </c>
      <c r="D34" s="11" t="s">
        <v>21</v>
      </c>
      <c r="E34" s="10" t="s">
        <v>124</v>
      </c>
      <c r="F34" s="9">
        <v>46225.77291666667</v>
      </c>
      <c r="G34" s="12">
        <f>F34-B34</f>
        <v>25569.229166666668</v>
      </c>
      <c r="H34" s="11" t="s">
        <v>8</v>
      </c>
      <c r="I34" s="10" t="s">
        <v>47</v>
      </c>
      <c r="J34" s="11" t="s">
        <v>24</v>
      </c>
      <c r="K34" s="10" t="s">
        <v>60</v>
      </c>
      <c r="L34" s="10" t="s">
        <v>39</v>
      </c>
      <c r="M34" s="10" t="s">
        <v>27</v>
      </c>
      <c r="N34" s="10" t="s">
        <v>40</v>
      </c>
      <c r="O34" s="28" t="s">
        <v>125</v>
      </c>
      <c r="P34" s="23">
        <v>46225.79861111111</v>
      </c>
      <c r="Q34" s="13">
        <v>1.027662037037037</v>
      </c>
      <c r="R34" s="14" t="s">
        <v>30</v>
      </c>
      <c r="S34" s="14" t="s">
        <v>30</v>
      </c>
      <c r="T34" s="14" t="s">
        <v>30</v>
      </c>
    </row>
    <row x14ac:dyDescent="0.25" r="35" customHeight="1" ht="18.75">
      <c r="A35" s="15">
        <f>ROW() - 1</f>
      </c>
      <c r="B35" s="16">
        <v>46225.83541666667</v>
      </c>
      <c r="C35" s="17" t="s">
        <v>72</v>
      </c>
      <c r="D35" s="18" t="s">
        <v>21</v>
      </c>
      <c r="E35" s="17" t="s">
        <v>126</v>
      </c>
      <c r="F35" s="16">
        <v>46225.836805555555</v>
      </c>
      <c r="G35" s="19">
        <f>F35-B35</f>
        <v>25569.229166666668</v>
      </c>
      <c r="H35" s="18" t="s">
        <v>8</v>
      </c>
      <c r="I35" s="17" t="s">
        <v>47</v>
      </c>
      <c r="J35" s="18" t="s">
        <v>24</v>
      </c>
      <c r="K35" s="17" t="s">
        <v>54</v>
      </c>
      <c r="L35" s="17" t="s">
        <v>33</v>
      </c>
      <c r="M35" s="17" t="s">
        <v>27</v>
      </c>
      <c r="N35" s="17" t="s">
        <v>28</v>
      </c>
      <c r="O35" s="17" t="s">
        <v>106</v>
      </c>
      <c r="P35" s="25">
        <v>46225.92013888889</v>
      </c>
      <c r="Q35" s="20">
        <v>1.027662037037037</v>
      </c>
      <c r="R35" s="21" t="s">
        <v>30</v>
      </c>
      <c r="S35" s="21" t="s">
        <v>30</v>
      </c>
      <c r="T35" s="21"/>
    </row>
    <row x14ac:dyDescent="0.25" r="36" customHeight="1" ht="18.75">
      <c r="A36" s="8">
        <f>ROW() - 1</f>
      </c>
      <c r="B36" s="9">
        <v>46226.21041666667</v>
      </c>
      <c r="C36" s="10" t="s">
        <v>42</v>
      </c>
      <c r="D36" s="11" t="s">
        <v>21</v>
      </c>
      <c r="E36" s="24" t="s">
        <v>127</v>
      </c>
      <c r="F36" s="9">
        <v>46226.211805555555</v>
      </c>
      <c r="G36" s="12">
        <f>F36-B36</f>
        <v>25569.229166666668</v>
      </c>
      <c r="H36" s="11" t="s">
        <v>8</v>
      </c>
      <c r="I36" s="10" t="s">
        <v>23</v>
      </c>
      <c r="J36" s="11" t="s">
        <v>24</v>
      </c>
      <c r="K36" s="10" t="s">
        <v>38</v>
      </c>
      <c r="L36" s="10" t="s">
        <v>39</v>
      </c>
      <c r="M36" s="10" t="s">
        <v>27</v>
      </c>
      <c r="N36" s="10" t="s">
        <v>40</v>
      </c>
      <c r="O36" s="10" t="s">
        <v>128</v>
      </c>
      <c r="P36" s="23">
        <v>46226.26944444444</v>
      </c>
      <c r="Q36" s="13">
        <f>P36-F36</f>
        <v>25569.229166666668</v>
      </c>
      <c r="R36" s="14" t="s">
        <v>30</v>
      </c>
      <c r="S36" s="14" t="s">
        <v>30</v>
      </c>
      <c r="T36" s="14" t="s">
        <v>30</v>
      </c>
    </row>
    <row x14ac:dyDescent="0.25" r="37" customHeight="1" ht="18.75">
      <c r="A37" s="15">
        <f>ROW() - 1</f>
      </c>
      <c r="B37" s="16">
        <v>46226.489583333336</v>
      </c>
      <c r="C37" s="17" t="s">
        <v>129</v>
      </c>
      <c r="D37" s="18" t="s">
        <v>21</v>
      </c>
      <c r="E37" s="17" t="s">
        <v>130</v>
      </c>
      <c r="F37" s="16">
        <v>46226.490277777775</v>
      </c>
      <c r="G37" s="19">
        <f>F37-B37</f>
        <v>25569.229166666668</v>
      </c>
      <c r="H37" s="18" t="s">
        <v>8</v>
      </c>
      <c r="I37" s="17" t="s">
        <v>23</v>
      </c>
      <c r="J37" s="18" t="s">
        <v>24</v>
      </c>
      <c r="K37" s="17" t="s">
        <v>66</v>
      </c>
      <c r="L37" s="17" t="s">
        <v>33</v>
      </c>
      <c r="M37" s="17" t="s">
        <v>27</v>
      </c>
      <c r="N37" s="17" t="s">
        <v>28</v>
      </c>
      <c r="O37" s="17" t="s">
        <v>131</v>
      </c>
      <c r="P37" s="16">
        <v>46226.5375</v>
      </c>
      <c r="Q37" s="20">
        <f>P37-F37</f>
        <v>25569.229166666668</v>
      </c>
      <c r="R37" s="21" t="s">
        <v>30</v>
      </c>
      <c r="S37" s="21" t="s">
        <v>30</v>
      </c>
      <c r="T37" s="21"/>
    </row>
    <row x14ac:dyDescent="0.25" r="38" customHeight="1" ht="18.75">
      <c r="A38" s="8">
        <f>ROW() - 1</f>
      </c>
      <c r="B38" s="9">
        <v>46226.53472222222</v>
      </c>
      <c r="C38" s="10" t="s">
        <v>132</v>
      </c>
      <c r="D38" s="11" t="s">
        <v>21</v>
      </c>
      <c r="E38" s="10" t="s">
        <v>133</v>
      </c>
      <c r="F38" s="9">
        <v>46226.535416666666</v>
      </c>
      <c r="G38" s="12">
        <f>F38-B38</f>
        <v>25569.229166666668</v>
      </c>
      <c r="H38" s="11" t="s">
        <v>8</v>
      </c>
      <c r="I38" s="10" t="s">
        <v>23</v>
      </c>
      <c r="J38" s="11" t="s">
        <v>24</v>
      </c>
      <c r="K38" s="10" t="s">
        <v>66</v>
      </c>
      <c r="L38" s="10" t="s">
        <v>33</v>
      </c>
      <c r="M38" s="10" t="s">
        <v>27</v>
      </c>
      <c r="N38" s="10" t="s">
        <v>28</v>
      </c>
      <c r="O38" s="10" t="s">
        <v>134</v>
      </c>
      <c r="P38" s="9">
        <v>46226.56319444445</v>
      </c>
      <c r="Q38" s="13">
        <f>P38-F38</f>
        <v>25569.229166666668</v>
      </c>
      <c r="R38" s="14" t="s">
        <v>30</v>
      </c>
      <c r="S38" s="14" t="s">
        <v>30</v>
      </c>
      <c r="T38" s="14"/>
    </row>
    <row x14ac:dyDescent="0.25" r="39" customHeight="1" ht="18.75">
      <c r="A39" s="15">
        <f>ROW() - 1</f>
      </c>
      <c r="B39" s="16">
        <v>46227.211805555555</v>
      </c>
      <c r="C39" s="17" t="s">
        <v>72</v>
      </c>
      <c r="D39" s="18" t="s">
        <v>21</v>
      </c>
      <c r="E39" s="17" t="s">
        <v>135</v>
      </c>
      <c r="F39" s="16">
        <v>46227.21319444444</v>
      </c>
      <c r="G39" s="19">
        <f>F39-B39</f>
        <v>25569.229166666668</v>
      </c>
      <c r="H39" s="18" t="s">
        <v>8</v>
      </c>
      <c r="I39" s="17" t="s">
        <v>47</v>
      </c>
      <c r="J39" s="18" t="s">
        <v>24</v>
      </c>
      <c r="K39" s="17" t="s">
        <v>38</v>
      </c>
      <c r="L39" s="17" t="s">
        <v>39</v>
      </c>
      <c r="M39" s="17" t="s">
        <v>27</v>
      </c>
      <c r="N39" s="17" t="s">
        <v>40</v>
      </c>
      <c r="O39" s="17" t="s">
        <v>136</v>
      </c>
      <c r="P39" s="25">
        <v>46227.92013888889</v>
      </c>
      <c r="Q39" s="20">
        <f>P39-F39</f>
        <v>25569.229166666668</v>
      </c>
      <c r="R39" s="21" t="s">
        <v>30</v>
      </c>
      <c r="S39" s="21" t="s">
        <v>30</v>
      </c>
      <c r="T39" s="21" t="s">
        <v>30</v>
      </c>
    </row>
    <row x14ac:dyDescent="0.25" r="40" customHeight="1" ht="18.75">
      <c r="A40" s="8">
        <f>ROW() - 1</f>
      </c>
      <c r="B40" s="9">
        <v>46228.208333333336</v>
      </c>
      <c r="C40" s="10" t="s">
        <v>137</v>
      </c>
      <c r="D40" s="11" t="s">
        <v>21</v>
      </c>
      <c r="E40" s="10" t="s">
        <v>138</v>
      </c>
      <c r="F40" s="9">
        <v>46228.21319444444</v>
      </c>
      <c r="G40" s="12">
        <f>F40-B40</f>
        <v>25569.229166666668</v>
      </c>
      <c r="H40" s="11" t="s">
        <v>8</v>
      </c>
      <c r="I40" s="10" t="s">
        <v>23</v>
      </c>
      <c r="J40" s="11" t="s">
        <v>24</v>
      </c>
      <c r="K40" s="10" t="s">
        <v>38</v>
      </c>
      <c r="L40" s="10" t="s">
        <v>33</v>
      </c>
      <c r="M40" s="10" t="s">
        <v>27</v>
      </c>
      <c r="N40" s="10" t="s">
        <v>28</v>
      </c>
      <c r="O40" s="10" t="s">
        <v>139</v>
      </c>
      <c r="P40" s="9">
        <v>46228.5375</v>
      </c>
      <c r="Q40" s="13">
        <f>P40-F40</f>
        <v>25569.229166666668</v>
      </c>
      <c r="R40" s="14" t="s">
        <v>30</v>
      </c>
      <c r="S40" s="14" t="s">
        <v>30</v>
      </c>
      <c r="T40" s="14"/>
    </row>
    <row x14ac:dyDescent="0.25" r="41" customHeight="1" ht="18.75">
      <c r="A41" s="15">
        <f>ROW() - 1</f>
      </c>
      <c r="B41" s="16">
        <v>46231.072916666664</v>
      </c>
      <c r="C41" s="17" t="s">
        <v>137</v>
      </c>
      <c r="D41" s="18" t="s">
        <v>21</v>
      </c>
      <c r="E41" s="17" t="s">
        <v>140</v>
      </c>
      <c r="F41" s="16">
        <v>46231.07361111111</v>
      </c>
      <c r="G41" s="19">
        <f>F41-B41</f>
        <v>25569.229166666668</v>
      </c>
      <c r="H41" s="18" t="s">
        <v>8</v>
      </c>
      <c r="I41" s="17" t="s">
        <v>23</v>
      </c>
      <c r="J41" s="18" t="s">
        <v>24</v>
      </c>
      <c r="K41" s="17" t="s">
        <v>66</v>
      </c>
      <c r="L41" s="17" t="s">
        <v>33</v>
      </c>
      <c r="M41" s="17" t="s">
        <v>27</v>
      </c>
      <c r="N41" s="17" t="s">
        <v>28</v>
      </c>
      <c r="O41" s="17" t="s">
        <v>141</v>
      </c>
      <c r="P41" s="16">
        <v>46231.12152777778</v>
      </c>
      <c r="Q41" s="20">
        <f>P41-F41</f>
        <v>25569.229166666668</v>
      </c>
      <c r="R41" s="21" t="s">
        <v>30</v>
      </c>
      <c r="S41" s="21" t="s">
        <v>30</v>
      </c>
      <c r="T41" s="21"/>
    </row>
    <row x14ac:dyDescent="0.25" r="42" customHeight="1" ht="18.75">
      <c r="A42" s="8">
        <f>ROW() - 1</f>
      </c>
      <c r="B42" s="9">
        <v>46231.104166666664</v>
      </c>
      <c r="C42" s="10" t="s">
        <v>61</v>
      </c>
      <c r="D42" s="11" t="s">
        <v>21</v>
      </c>
      <c r="E42" s="10" t="s">
        <v>142</v>
      </c>
      <c r="F42" s="9">
        <v>46231.10555555556</v>
      </c>
      <c r="G42" s="12">
        <f>F42-B42</f>
        <v>25569.229166666668</v>
      </c>
      <c r="H42" s="11" t="s">
        <v>8</v>
      </c>
      <c r="I42" s="10" t="s">
        <v>47</v>
      </c>
      <c r="J42" s="11" t="s">
        <v>24</v>
      </c>
      <c r="K42" s="10" t="s">
        <v>25</v>
      </c>
      <c r="L42" s="10" t="s">
        <v>33</v>
      </c>
      <c r="M42" s="10" t="s">
        <v>27</v>
      </c>
      <c r="N42" s="10" t="s">
        <v>28</v>
      </c>
      <c r="O42" s="10" t="s">
        <v>143</v>
      </c>
      <c r="P42" s="9">
        <v>46231.17569444444</v>
      </c>
      <c r="Q42" s="13">
        <f>P42-F42</f>
        <v>25569.229166666668</v>
      </c>
      <c r="R42" s="14" t="s">
        <v>30</v>
      </c>
      <c r="S42" s="14" t="s">
        <v>30</v>
      </c>
      <c r="T42" s="14"/>
    </row>
    <row x14ac:dyDescent="0.25" r="43" customHeight="1" ht="18.75">
      <c r="A43" s="15">
        <f>ROW() - 1</f>
      </c>
      <c r="B43" s="16">
        <v>46232.020833333336</v>
      </c>
      <c r="C43" s="17" t="s">
        <v>64</v>
      </c>
      <c r="D43" s="18" t="s">
        <v>21</v>
      </c>
      <c r="E43" s="17" t="s">
        <v>144</v>
      </c>
      <c r="F43" s="16">
        <v>46232.021527777775</v>
      </c>
      <c r="G43" s="19">
        <f>F43-B43</f>
        <v>25569.229166666668</v>
      </c>
      <c r="H43" s="18" t="s">
        <v>8</v>
      </c>
      <c r="I43" s="17" t="s">
        <v>23</v>
      </c>
      <c r="J43" s="18" t="s">
        <v>24</v>
      </c>
      <c r="K43" s="17" t="s">
        <v>66</v>
      </c>
      <c r="L43" s="17" t="s">
        <v>39</v>
      </c>
      <c r="M43" s="17" t="s">
        <v>27</v>
      </c>
      <c r="N43" s="17" t="s">
        <v>40</v>
      </c>
      <c r="O43" s="17" t="s">
        <v>67</v>
      </c>
      <c r="P43" s="16">
        <v>46232.052083333336</v>
      </c>
      <c r="Q43" s="20">
        <f>P43-F43</f>
        <v>25569.229166666668</v>
      </c>
      <c r="R43" s="21" t="s">
        <v>30</v>
      </c>
      <c r="S43" s="21" t="s">
        <v>30</v>
      </c>
      <c r="T43" s="21" t="s">
        <v>30</v>
      </c>
    </row>
    <row x14ac:dyDescent="0.25" r="44" customHeight="1" ht="18.75">
      <c r="A44" s="8">
        <f>ROW() - 1</f>
      </c>
      <c r="B44" s="9">
        <v>46232.21527777778</v>
      </c>
      <c r="C44" s="10" t="s">
        <v>102</v>
      </c>
      <c r="D44" s="11" t="s">
        <v>21</v>
      </c>
      <c r="E44" s="10" t="s">
        <v>145</v>
      </c>
      <c r="F44" s="9">
        <v>46232.22152777778</v>
      </c>
      <c r="G44" s="12">
        <f>F44-B44</f>
        <v>25569.229166666668</v>
      </c>
      <c r="H44" s="11" t="s">
        <v>8</v>
      </c>
      <c r="I44" s="10" t="s">
        <v>47</v>
      </c>
      <c r="J44" s="11" t="s">
        <v>24</v>
      </c>
      <c r="K44" s="10" t="s">
        <v>99</v>
      </c>
      <c r="L44" s="10" t="s">
        <v>39</v>
      </c>
      <c r="M44" s="10" t="s">
        <v>27</v>
      </c>
      <c r="N44" s="10" t="s">
        <v>40</v>
      </c>
      <c r="O44" s="29" t="s">
        <v>104</v>
      </c>
      <c r="P44" s="9">
        <v>46232.21875</v>
      </c>
      <c r="Q44" s="13">
        <v>2.041550925925926</v>
      </c>
      <c r="R44" s="14" t="s">
        <v>30</v>
      </c>
      <c r="S44" s="14" t="s">
        <v>30</v>
      </c>
      <c r="T44" s="14" t="s">
        <v>30</v>
      </c>
    </row>
    <row x14ac:dyDescent="0.25" r="45" customHeight="1" ht="18.75">
      <c r="A45" s="15">
        <f>ROW() - 1</f>
      </c>
      <c r="B45" s="16">
        <v>46232.58472222222</v>
      </c>
      <c r="C45" s="17" t="s">
        <v>86</v>
      </c>
      <c r="D45" s="18" t="s">
        <v>21</v>
      </c>
      <c r="E45" s="17" t="s">
        <v>146</v>
      </c>
      <c r="F45" s="16">
        <v>46232.58888888889</v>
      </c>
      <c r="G45" s="19">
        <f>F45-B45</f>
        <v>25569.229166666668</v>
      </c>
      <c r="H45" s="18" t="s">
        <v>8</v>
      </c>
      <c r="I45" s="17" t="s">
        <v>47</v>
      </c>
      <c r="J45" s="18" t="s">
        <v>24</v>
      </c>
      <c r="K45" s="17" t="s">
        <v>60</v>
      </c>
      <c r="L45" s="17" t="s">
        <v>39</v>
      </c>
      <c r="M45" s="17" t="s">
        <v>27</v>
      </c>
      <c r="N45" s="17" t="s">
        <v>40</v>
      </c>
      <c r="O45" s="17" t="s">
        <v>88</v>
      </c>
      <c r="P45" s="16">
        <v>46232.61111111111</v>
      </c>
      <c r="Q45" s="20">
        <f>P45-F45</f>
        <v>25569.229166666668</v>
      </c>
      <c r="R45" s="21" t="s">
        <v>30</v>
      </c>
      <c r="S45" s="21" t="s">
        <v>30</v>
      </c>
      <c r="T45" s="21" t="s">
        <v>30</v>
      </c>
    </row>
    <row x14ac:dyDescent="0.25" r="46" customHeight="1" ht="18.75">
      <c r="A46" s="8">
        <f>ROW() - 1</f>
      </c>
      <c r="B46" s="9">
        <v>46233.07986111111</v>
      </c>
      <c r="C46" s="10" t="s">
        <v>75</v>
      </c>
      <c r="D46" s="11" t="s">
        <v>21</v>
      </c>
      <c r="E46" s="10" t="s">
        <v>147</v>
      </c>
      <c r="F46" s="9">
        <v>46233.080555555556</v>
      </c>
      <c r="G46" s="12">
        <f>F46-B46</f>
        <v>25569.229166666668</v>
      </c>
      <c r="H46" s="11" t="s">
        <v>8</v>
      </c>
      <c r="I46" s="10" t="s">
        <v>23</v>
      </c>
      <c r="J46" s="11" t="s">
        <v>24</v>
      </c>
      <c r="K46" s="10" t="s">
        <v>66</v>
      </c>
      <c r="L46" s="10" t="s">
        <v>33</v>
      </c>
      <c r="M46" s="10" t="s">
        <v>27</v>
      </c>
      <c r="N46" s="10" t="s">
        <v>28</v>
      </c>
      <c r="O46" s="10" t="s">
        <v>77</v>
      </c>
      <c r="P46" s="9">
        <v>46233.118055555555</v>
      </c>
      <c r="Q46" s="13">
        <f>P46-F46</f>
        <v>25569.229166666668</v>
      </c>
      <c r="R46" s="14" t="s">
        <v>30</v>
      </c>
      <c r="S46" s="14" t="s">
        <v>30</v>
      </c>
      <c r="T46" s="14"/>
    </row>
    <row x14ac:dyDescent="0.25" r="47" customHeight="1" ht="18.75">
      <c r="A47" s="15">
        <f>ROW() - 1</f>
      </c>
      <c r="B47" s="16">
        <v>46233.46875</v>
      </c>
      <c r="C47" s="17" t="s">
        <v>86</v>
      </c>
      <c r="D47" s="18" t="s">
        <v>21</v>
      </c>
      <c r="E47" s="17" t="s">
        <v>148</v>
      </c>
      <c r="F47" s="16">
        <v>46233.47222222222</v>
      </c>
      <c r="G47" s="19">
        <f>F47-B47</f>
        <v>25569.229166666668</v>
      </c>
      <c r="H47" s="18" t="s">
        <v>8</v>
      </c>
      <c r="I47" s="17" t="s">
        <v>47</v>
      </c>
      <c r="J47" s="18" t="s">
        <v>24</v>
      </c>
      <c r="K47" s="17" t="s">
        <v>60</v>
      </c>
      <c r="L47" s="17" t="s">
        <v>39</v>
      </c>
      <c r="M47" s="17" t="s">
        <v>27</v>
      </c>
      <c r="N47" s="17" t="s">
        <v>40</v>
      </c>
      <c r="O47" s="17" t="s">
        <v>88</v>
      </c>
      <c r="P47" s="25">
        <v>46233.5</v>
      </c>
      <c r="Q47" s="20">
        <v>1.027662037037037</v>
      </c>
      <c r="R47" s="21" t="s">
        <v>30</v>
      </c>
      <c r="S47" s="21" t="s">
        <v>30</v>
      </c>
      <c r="T47" s="21" t="s">
        <v>30</v>
      </c>
    </row>
    <row x14ac:dyDescent="0.25" r="48" customHeight="1" ht="18.75">
      <c r="A48" s="8">
        <f>ROW() - 1</f>
      </c>
      <c r="B48" s="9">
        <v>46233.501388888886</v>
      </c>
      <c r="C48" s="10" t="s">
        <v>102</v>
      </c>
      <c r="D48" s="11" t="s">
        <v>21</v>
      </c>
      <c r="E48" s="10" t="s">
        <v>149</v>
      </c>
      <c r="F48" s="9">
        <v>46233.504166666666</v>
      </c>
      <c r="G48" s="12">
        <f>F48-B48</f>
        <v>25569.229166666668</v>
      </c>
      <c r="H48" s="10" t="s">
        <v>8</v>
      </c>
      <c r="I48" s="10" t="s">
        <v>47</v>
      </c>
      <c r="J48" s="11" t="s">
        <v>24</v>
      </c>
      <c r="K48" s="10" t="s">
        <v>60</v>
      </c>
      <c r="L48" s="10" t="s">
        <v>39</v>
      </c>
      <c r="M48" s="10" t="s">
        <v>27</v>
      </c>
      <c r="N48" s="10" t="s">
        <v>40</v>
      </c>
      <c r="O48" s="10" t="s">
        <v>104</v>
      </c>
      <c r="P48" s="23">
        <v>46233.541666666664</v>
      </c>
      <c r="Q48" s="13">
        <v>1.041550925925926</v>
      </c>
      <c r="R48" s="14" t="s">
        <v>30</v>
      </c>
      <c r="S48" s="14" t="s">
        <v>30</v>
      </c>
      <c r="T48" s="14" t="s">
        <v>30</v>
      </c>
    </row>
    <row x14ac:dyDescent="0.25" r="49" customHeight="1" ht="18.75">
      <c r="A49" s="15">
        <f>ROW() - 1</f>
      </c>
      <c r="B49" s="16">
        <v>46233.876388888886</v>
      </c>
      <c r="C49" s="17" t="s">
        <v>137</v>
      </c>
      <c r="D49" s="18" t="s">
        <v>21</v>
      </c>
      <c r="E49" s="17" t="s">
        <v>150</v>
      </c>
      <c r="F49" s="16">
        <v>46233.879166666666</v>
      </c>
      <c r="G49" s="19">
        <f>F49-B49</f>
        <v>25569.229166666668</v>
      </c>
      <c r="H49" s="18" t="s">
        <v>8</v>
      </c>
      <c r="I49" s="17" t="s">
        <v>23</v>
      </c>
      <c r="J49" s="18" t="s">
        <v>24</v>
      </c>
      <c r="K49" s="17" t="s">
        <v>38</v>
      </c>
      <c r="L49" s="17" t="s">
        <v>39</v>
      </c>
      <c r="M49" s="17" t="s">
        <v>27</v>
      </c>
      <c r="N49" s="17" t="s">
        <v>40</v>
      </c>
      <c r="O49" s="17" t="s">
        <v>139</v>
      </c>
      <c r="P49" s="25">
        <v>46233.98888888889</v>
      </c>
      <c r="Q49" s="20">
        <f>P49-F49</f>
        <v>25569.229166666668</v>
      </c>
      <c r="R49" s="21" t="s">
        <v>30</v>
      </c>
      <c r="S49" s="21" t="s">
        <v>30</v>
      </c>
      <c r="T49" s="21"/>
    </row>
    <row x14ac:dyDescent="0.25" r="50" customHeight="1" ht="18.75">
      <c r="A50" s="8">
        <f>ROW() - 1</f>
      </c>
      <c r="B50" s="9">
        <v>46234.001388888886</v>
      </c>
      <c r="C50" s="10" t="s">
        <v>151</v>
      </c>
      <c r="D50" s="11" t="s">
        <v>21</v>
      </c>
      <c r="E50" s="10" t="s">
        <v>152</v>
      </c>
      <c r="F50" s="9">
        <v>46234.00208333333</v>
      </c>
      <c r="G50" s="12">
        <f>F50-B50</f>
        <v>25569.229166666668</v>
      </c>
      <c r="H50" s="11" t="s">
        <v>8</v>
      </c>
      <c r="I50" s="10" t="s">
        <v>23</v>
      </c>
      <c r="J50" s="11" t="s">
        <v>24</v>
      </c>
      <c r="K50" s="10" t="s">
        <v>66</v>
      </c>
      <c r="L50" s="10" t="s">
        <v>39</v>
      </c>
      <c r="M50" s="10" t="s">
        <v>27</v>
      </c>
      <c r="N50" s="10" t="s">
        <v>40</v>
      </c>
      <c r="O50" s="10" t="s">
        <v>153</v>
      </c>
      <c r="P50" s="9">
        <v>46234.03125</v>
      </c>
      <c r="Q50" s="13">
        <f>P50-F50</f>
        <v>25569.229166666668</v>
      </c>
      <c r="R50" s="14" t="s">
        <v>30</v>
      </c>
      <c r="S50" s="14" t="s">
        <v>30</v>
      </c>
      <c r="T50" s="14" t="s">
        <v>30</v>
      </c>
    </row>
    <row x14ac:dyDescent="0.25" r="51" customHeight="1" ht="18.75">
      <c r="A51" s="15">
        <f>ROW() - 1</f>
      </c>
      <c r="B51" s="16">
        <v>46234.018055555556</v>
      </c>
      <c r="C51" s="17" t="s">
        <v>154</v>
      </c>
      <c r="D51" s="18" t="s">
        <v>69</v>
      </c>
      <c r="E51" s="17" t="s">
        <v>155</v>
      </c>
      <c r="F51" s="16">
        <v>46234.01875</v>
      </c>
      <c r="G51" s="19">
        <f>F51-B51</f>
        <v>25569.229166666668</v>
      </c>
      <c r="H51" s="18" t="s">
        <v>8</v>
      </c>
      <c r="I51" s="17" t="s">
        <v>47</v>
      </c>
      <c r="J51" s="18" t="s">
        <v>81</v>
      </c>
      <c r="K51" s="17" t="s">
        <v>25</v>
      </c>
      <c r="L51" s="17" t="s">
        <v>33</v>
      </c>
      <c r="M51" s="17" t="s">
        <v>27</v>
      </c>
      <c r="N51" s="17" t="s">
        <v>28</v>
      </c>
      <c r="O51" s="17" t="s">
        <v>156</v>
      </c>
      <c r="P51" s="16">
        <v>46234.07986111111</v>
      </c>
      <c r="Q51" s="20">
        <f>P51-F51</f>
        <v>25569.229166666668</v>
      </c>
      <c r="R51" s="21" t="s">
        <v>30</v>
      </c>
      <c r="S51" s="21" t="s">
        <v>30</v>
      </c>
      <c r="T51" s="21"/>
    </row>
    <row x14ac:dyDescent="0.25" r="52" customHeight="1" ht="18.75">
      <c r="A52" s="8">
        <f>ROW() - 1</f>
      </c>
      <c r="B52" s="9">
        <v>46234.87847222222</v>
      </c>
      <c r="C52" s="10" t="s">
        <v>75</v>
      </c>
      <c r="D52" s="11" t="s">
        <v>21</v>
      </c>
      <c r="E52" s="10" t="s">
        <v>157</v>
      </c>
      <c r="F52" s="9">
        <v>46234.87986111111</v>
      </c>
      <c r="G52" s="12">
        <f>F52-B52</f>
        <v>25569.229166666668</v>
      </c>
      <c r="H52" s="11" t="s">
        <v>8</v>
      </c>
      <c r="I52" s="10" t="s">
        <v>23</v>
      </c>
      <c r="J52" s="11" t="s">
        <v>24</v>
      </c>
      <c r="K52" s="10" t="s">
        <v>38</v>
      </c>
      <c r="L52" s="10" t="s">
        <v>39</v>
      </c>
      <c r="M52" s="10" t="s">
        <v>27</v>
      </c>
      <c r="N52" s="10" t="s">
        <v>40</v>
      </c>
      <c r="O52" s="10" t="s">
        <v>158</v>
      </c>
      <c r="P52" s="23">
        <v>46234.993055555555</v>
      </c>
      <c r="Q52" s="13">
        <f>P52-F52</f>
        <v>25569.229166666668</v>
      </c>
      <c r="R52" s="14" t="s">
        <v>30</v>
      </c>
      <c r="S52" s="14" t="s">
        <v>30</v>
      </c>
      <c r="T52" s="14" t="s">
        <v>30</v>
      </c>
    </row>
    <row x14ac:dyDescent="0.25" r="53" customHeight="1" ht="18.75">
      <c r="A53" s="15">
        <f>ROW() - 1</f>
      </c>
      <c r="B53" s="16">
        <v>46237.73263888889</v>
      </c>
      <c r="C53" s="17" t="s">
        <v>75</v>
      </c>
      <c r="D53" s="18" t="s">
        <v>21</v>
      </c>
      <c r="E53" s="17" t="s">
        <v>159</v>
      </c>
      <c r="F53" s="16">
        <v>46237.73333333333</v>
      </c>
      <c r="G53" s="19">
        <f>F53-B53</f>
        <v>25569.229166666668</v>
      </c>
      <c r="H53" s="18" t="s">
        <v>8</v>
      </c>
      <c r="I53" s="17" t="s">
        <v>23</v>
      </c>
      <c r="J53" s="18" t="s">
        <v>24</v>
      </c>
      <c r="K53" s="17" t="s">
        <v>66</v>
      </c>
      <c r="L53" s="17" t="s">
        <v>33</v>
      </c>
      <c r="M53" s="17" t="s">
        <v>27</v>
      </c>
      <c r="N53" s="17" t="s">
        <v>28</v>
      </c>
      <c r="O53" s="17" t="s">
        <v>77</v>
      </c>
      <c r="P53" s="16">
        <v>46237.76388888889</v>
      </c>
      <c r="Q53" s="20">
        <f>P53-F53</f>
        <v>25569.229166666668</v>
      </c>
      <c r="R53" s="21" t="s">
        <v>30</v>
      </c>
      <c r="S53" s="21" t="s">
        <v>30</v>
      </c>
      <c r="T53" s="21"/>
    </row>
    <row x14ac:dyDescent="0.25" r="54" customHeight="1" ht="18.75">
      <c r="A54" s="8">
        <f>ROW() - 1</f>
      </c>
      <c r="B54" s="9">
        <v>46238.631944444445</v>
      </c>
      <c r="C54" s="10" t="s">
        <v>160</v>
      </c>
      <c r="D54" s="11" t="s">
        <v>69</v>
      </c>
      <c r="E54" s="10" t="s">
        <v>161</v>
      </c>
      <c r="F54" s="9">
        <v>46238.63263888889</v>
      </c>
      <c r="G54" s="12">
        <f>F54-B54</f>
        <v>25569.229166666668</v>
      </c>
      <c r="H54" s="11" t="s">
        <v>8</v>
      </c>
      <c r="I54" s="10" t="s">
        <v>23</v>
      </c>
      <c r="J54" s="11" t="s">
        <v>162</v>
      </c>
      <c r="K54" s="10" t="s">
        <v>66</v>
      </c>
      <c r="L54" s="10" t="s">
        <v>33</v>
      </c>
      <c r="M54" s="10" t="s">
        <v>27</v>
      </c>
      <c r="N54" s="10" t="s">
        <v>28</v>
      </c>
      <c r="O54" s="10" t="s">
        <v>163</v>
      </c>
      <c r="P54" s="9">
        <v>46238.760416666664</v>
      </c>
      <c r="Q54" s="13">
        <f>P54-F54</f>
        <v>25569.229166666668</v>
      </c>
      <c r="R54" s="14" t="s">
        <v>30</v>
      </c>
      <c r="S54" s="14" t="s">
        <v>30</v>
      </c>
      <c r="T54" s="14"/>
    </row>
    <row x14ac:dyDescent="0.25" r="55" customHeight="1" ht="18.75">
      <c r="A55" s="15">
        <f>ROW() - 1</f>
      </c>
      <c r="B55" s="16">
        <v>46238.930555555555</v>
      </c>
      <c r="C55" s="17" t="s">
        <v>102</v>
      </c>
      <c r="D55" s="18" t="s">
        <v>21</v>
      </c>
      <c r="E55" s="17" t="s">
        <v>164</v>
      </c>
      <c r="F55" s="16">
        <v>46238.93402777778</v>
      </c>
      <c r="G55" s="19">
        <f>F55-B55</f>
        <v>25569.229166666668</v>
      </c>
      <c r="H55" s="17" t="s">
        <v>8</v>
      </c>
      <c r="I55" s="17" t="s">
        <v>47</v>
      </c>
      <c r="J55" s="18" t="s">
        <v>24</v>
      </c>
      <c r="K55" s="17" t="s">
        <v>60</v>
      </c>
      <c r="L55" s="17" t="s">
        <v>39</v>
      </c>
      <c r="M55" s="17" t="s">
        <v>27</v>
      </c>
      <c r="N55" s="17" t="s">
        <v>40</v>
      </c>
      <c r="O55" s="17" t="s">
        <v>104</v>
      </c>
      <c r="P55" s="25">
        <v>46238.958333333336</v>
      </c>
      <c r="Q55" s="20">
        <f>P55-F55</f>
        <v>25569.229166666668</v>
      </c>
      <c r="R55" s="21" t="s">
        <v>30</v>
      </c>
      <c r="S55" s="21" t="s">
        <v>30</v>
      </c>
      <c r="T55" s="21" t="s">
        <v>30</v>
      </c>
    </row>
    <row x14ac:dyDescent="0.25" r="56" customHeight="1" ht="18.75">
      <c r="A56" s="8">
        <f>ROW() - 1</f>
      </c>
      <c r="B56" s="9">
        <v>46239.663194444445</v>
      </c>
      <c r="C56" s="10" t="s">
        <v>165</v>
      </c>
      <c r="D56" s="11" t="s">
        <v>21</v>
      </c>
      <c r="E56" s="10" t="s">
        <v>166</v>
      </c>
      <c r="F56" s="9">
        <v>46239.66388888889</v>
      </c>
      <c r="G56" s="12">
        <f>F56-B56</f>
        <v>25569.229166666668</v>
      </c>
      <c r="H56" s="11" t="s">
        <v>8</v>
      </c>
      <c r="I56" s="10" t="s">
        <v>23</v>
      </c>
      <c r="J56" s="11" t="s">
        <v>24</v>
      </c>
      <c r="K56" s="10" t="s">
        <v>66</v>
      </c>
      <c r="L56" s="10" t="s">
        <v>33</v>
      </c>
      <c r="M56" s="10" t="s">
        <v>27</v>
      </c>
      <c r="N56" s="10" t="s">
        <v>28</v>
      </c>
      <c r="O56" s="10" t="s">
        <v>167</v>
      </c>
      <c r="P56" s="9">
        <v>46239.70625</v>
      </c>
      <c r="Q56" s="13">
        <f>P56-F56</f>
        <v>25569.229166666668</v>
      </c>
      <c r="R56" s="14" t="s">
        <v>30</v>
      </c>
      <c r="S56" s="14" t="s">
        <v>30</v>
      </c>
      <c r="T56" s="14"/>
    </row>
    <row x14ac:dyDescent="0.25" r="57" customHeight="1" ht="18.75">
      <c r="A57" s="15">
        <f>ROW() - 1</f>
      </c>
      <c r="B57" s="16">
        <v>46239.88402777778</v>
      </c>
      <c r="C57" s="17" t="s">
        <v>168</v>
      </c>
      <c r="D57" s="18" t="s">
        <v>69</v>
      </c>
      <c r="E57" s="17" t="s">
        <v>169</v>
      </c>
      <c r="F57" s="16">
        <v>46239.885416666664</v>
      </c>
      <c r="G57" s="19">
        <f>F57-B57</f>
        <v>25569.229166666668</v>
      </c>
      <c r="H57" s="18" t="s">
        <v>8</v>
      </c>
      <c r="I57" s="17" t="s">
        <v>47</v>
      </c>
      <c r="J57" s="18" t="s">
        <v>24</v>
      </c>
      <c r="K57" s="17" t="s">
        <v>66</v>
      </c>
      <c r="L57" s="17" t="s">
        <v>33</v>
      </c>
      <c r="M57" s="17" t="s">
        <v>27</v>
      </c>
      <c r="N57" s="17" t="s">
        <v>28</v>
      </c>
      <c r="O57" s="17" t="s">
        <v>170</v>
      </c>
      <c r="P57" s="16">
        <v>46239.925</v>
      </c>
      <c r="Q57" s="20">
        <f>P57-F57</f>
        <v>25569.229166666668</v>
      </c>
      <c r="R57" s="21" t="s">
        <v>30</v>
      </c>
      <c r="S57" s="21" t="s">
        <v>30</v>
      </c>
      <c r="T57" s="21"/>
    </row>
    <row x14ac:dyDescent="0.25" r="58" customHeight="1" ht="18.75">
      <c r="A58" s="8">
        <f>ROW() - 1</f>
      </c>
      <c r="B58" s="9">
        <v>46239.967361111114</v>
      </c>
      <c r="C58" s="10" t="s">
        <v>171</v>
      </c>
      <c r="D58" s="11" t="s">
        <v>21</v>
      </c>
      <c r="E58" s="24" t="s">
        <v>172</v>
      </c>
      <c r="F58" s="9">
        <v>46239.96875</v>
      </c>
      <c r="G58" s="12">
        <f>F58-B58</f>
        <v>25569.229166666668</v>
      </c>
      <c r="H58" s="11" t="s">
        <v>8</v>
      </c>
      <c r="I58" s="10" t="s">
        <v>23</v>
      </c>
      <c r="J58" s="11" t="s">
        <v>24</v>
      </c>
      <c r="K58" s="10" t="s">
        <v>38</v>
      </c>
      <c r="L58" s="10" t="s">
        <v>33</v>
      </c>
      <c r="M58" s="10" t="s">
        <v>27</v>
      </c>
      <c r="N58" s="10" t="s">
        <v>28</v>
      </c>
      <c r="O58" s="10" t="s">
        <v>128</v>
      </c>
      <c r="P58" s="9">
        <v>46240.125</v>
      </c>
      <c r="Q58" s="13">
        <f>P58-F58</f>
        <v>25569.229166666668</v>
      </c>
      <c r="R58" s="14" t="s">
        <v>30</v>
      </c>
      <c r="S58" s="14" t="s">
        <v>30</v>
      </c>
      <c r="T58" s="14"/>
    </row>
    <row x14ac:dyDescent="0.25" r="59" customHeight="1" ht="18.75">
      <c r="A59" s="15">
        <f>ROW() - 1</f>
      </c>
      <c r="B59" s="16">
        <v>46240.15277777778</v>
      </c>
      <c r="C59" s="22" t="s">
        <v>173</v>
      </c>
      <c r="D59" s="18" t="s">
        <v>21</v>
      </c>
      <c r="E59" s="17" t="s">
        <v>174</v>
      </c>
      <c r="F59" s="16">
        <v>46240.154861111114</v>
      </c>
      <c r="G59" s="19">
        <f>F59-B59</f>
        <v>25569.229166666668</v>
      </c>
      <c r="H59" s="18" t="s">
        <v>8</v>
      </c>
      <c r="I59" s="17" t="s">
        <v>23</v>
      </c>
      <c r="J59" s="18" t="s">
        <v>24</v>
      </c>
      <c r="K59" s="17" t="s">
        <v>38</v>
      </c>
      <c r="L59" s="17" t="s">
        <v>39</v>
      </c>
      <c r="M59" s="17" t="s">
        <v>27</v>
      </c>
      <c r="N59" s="17" t="s">
        <v>40</v>
      </c>
      <c r="O59" s="17" t="s">
        <v>175</v>
      </c>
      <c r="P59" s="16">
        <v>46241.00347222222</v>
      </c>
      <c r="Q59" s="20">
        <f>P59-F59</f>
        <v>25569.229166666668</v>
      </c>
      <c r="R59" s="21" t="s">
        <v>30</v>
      </c>
      <c r="S59" s="21" t="s">
        <v>30</v>
      </c>
      <c r="T59" s="21" t="s">
        <v>30</v>
      </c>
    </row>
    <row x14ac:dyDescent="0.25" r="60" customHeight="1" ht="18.75">
      <c r="A60" s="8">
        <f>ROW() - 1</f>
      </c>
      <c r="B60" s="9">
        <v>46240.87222222222</v>
      </c>
      <c r="C60" s="10" t="s">
        <v>86</v>
      </c>
      <c r="D60" s="11" t="s">
        <v>21</v>
      </c>
      <c r="E60" s="10" t="s">
        <v>176</v>
      </c>
      <c r="F60" s="9">
        <v>46240.87291666667</v>
      </c>
      <c r="G60" s="12">
        <f>F60-B60</f>
        <v>25569.229166666668</v>
      </c>
      <c r="H60" s="11" t="s">
        <v>8</v>
      </c>
      <c r="I60" s="10" t="s">
        <v>47</v>
      </c>
      <c r="J60" s="11" t="s">
        <v>24</v>
      </c>
      <c r="K60" s="10" t="s">
        <v>66</v>
      </c>
      <c r="L60" s="10" t="s">
        <v>39</v>
      </c>
      <c r="M60" s="10" t="s">
        <v>27</v>
      </c>
      <c r="N60" s="10" t="s">
        <v>40</v>
      </c>
      <c r="O60" s="10" t="s">
        <v>88</v>
      </c>
      <c r="P60" s="9">
        <v>46240.90277777778</v>
      </c>
      <c r="Q60" s="13">
        <f>P60-F60</f>
        <v>25569.229166666668</v>
      </c>
      <c r="R60" s="14" t="s">
        <v>30</v>
      </c>
      <c r="S60" s="14" t="s">
        <v>30</v>
      </c>
      <c r="T60" s="14" t="s">
        <v>30</v>
      </c>
    </row>
    <row x14ac:dyDescent="0.25" r="61" customHeight="1" ht="18.75">
      <c r="A61" s="15">
        <f>ROW() - 1</f>
      </c>
      <c r="B61" s="16">
        <v>46240.907638888886</v>
      </c>
      <c r="C61" s="17" t="s">
        <v>123</v>
      </c>
      <c r="D61" s="18" t="s">
        <v>21</v>
      </c>
      <c r="E61" s="17" t="s">
        <v>177</v>
      </c>
      <c r="F61" s="16">
        <v>46240.90972222222</v>
      </c>
      <c r="G61" s="19">
        <f>F61-B61</f>
        <v>25569.229166666668</v>
      </c>
      <c r="H61" s="18" t="s">
        <v>8</v>
      </c>
      <c r="I61" s="17" t="s">
        <v>47</v>
      </c>
      <c r="J61" s="18" t="s">
        <v>24</v>
      </c>
      <c r="K61" s="17" t="s">
        <v>60</v>
      </c>
      <c r="L61" s="17" t="s">
        <v>39</v>
      </c>
      <c r="M61" s="17" t="s">
        <v>27</v>
      </c>
      <c r="N61" s="17" t="s">
        <v>40</v>
      </c>
      <c r="O61" s="26" t="s">
        <v>125</v>
      </c>
      <c r="P61" s="16">
        <v>46240.9375</v>
      </c>
      <c r="Q61" s="20">
        <f>P61-F61</f>
        <v>25569.229166666668</v>
      </c>
      <c r="R61" s="21" t="s">
        <v>30</v>
      </c>
      <c r="S61" s="21" t="s">
        <v>30</v>
      </c>
      <c r="T61" s="21" t="s">
        <v>30</v>
      </c>
    </row>
    <row x14ac:dyDescent="0.25" r="62" customHeight="1" ht="18.75">
      <c r="A62" s="8">
        <f>ROW() - 1</f>
      </c>
      <c r="B62" s="9">
        <v>46241.00486111111</v>
      </c>
      <c r="C62" s="10" t="s">
        <v>178</v>
      </c>
      <c r="D62" s="11" t="s">
        <v>69</v>
      </c>
      <c r="E62" s="10" t="s">
        <v>179</v>
      </c>
      <c r="F62" s="9">
        <v>46241.006944444445</v>
      </c>
      <c r="G62" s="12">
        <f>F62-B62</f>
        <v>25569.229166666668</v>
      </c>
      <c r="H62" s="11" t="s">
        <v>8</v>
      </c>
      <c r="I62" s="10" t="s">
        <v>23</v>
      </c>
      <c r="J62" s="11" t="s">
        <v>24</v>
      </c>
      <c r="K62" s="10" t="s">
        <v>38</v>
      </c>
      <c r="L62" s="10" t="s">
        <v>33</v>
      </c>
      <c r="M62" s="10" t="s">
        <v>27</v>
      </c>
      <c r="N62" s="10" t="s">
        <v>28</v>
      </c>
      <c r="O62" s="10" t="s">
        <v>180</v>
      </c>
      <c r="P62" s="9">
        <v>46241.069444444445</v>
      </c>
      <c r="Q62" s="13">
        <f>P62-F62</f>
        <v>25569.229166666668</v>
      </c>
      <c r="R62" s="14" t="s">
        <v>30</v>
      </c>
      <c r="S62" s="14" t="s">
        <v>30</v>
      </c>
      <c r="T62" s="14"/>
    </row>
    <row x14ac:dyDescent="0.25" r="63" customHeight="1" ht="18.75">
      <c r="A63" s="15">
        <f>ROW() - 1</f>
      </c>
      <c r="B63" s="16">
        <v>46241.677777777775</v>
      </c>
      <c r="C63" s="17" t="s">
        <v>181</v>
      </c>
      <c r="D63" s="18" t="s">
        <v>21</v>
      </c>
      <c r="E63" s="17" t="s">
        <v>182</v>
      </c>
      <c r="F63" s="16">
        <v>46241.67847222222</v>
      </c>
      <c r="G63" s="19">
        <f>F63-B63</f>
        <v>25569.229166666668</v>
      </c>
      <c r="H63" s="18" t="s">
        <v>8</v>
      </c>
      <c r="I63" s="17" t="s">
        <v>47</v>
      </c>
      <c r="J63" s="18" t="s">
        <v>24</v>
      </c>
      <c r="K63" s="17" t="s">
        <v>99</v>
      </c>
      <c r="L63" s="17" t="s">
        <v>26</v>
      </c>
      <c r="M63" s="17" t="s">
        <v>27</v>
      </c>
      <c r="N63" s="17" t="s">
        <v>28</v>
      </c>
      <c r="O63" s="30" t="s">
        <v>183</v>
      </c>
      <c r="P63" s="16">
        <v>46241.71527777778</v>
      </c>
      <c r="Q63" s="20">
        <f>P63-F63</f>
        <v>25569.229166666668</v>
      </c>
      <c r="R63" s="21" t="s">
        <v>30</v>
      </c>
      <c r="S63" s="21" t="s">
        <v>30</v>
      </c>
      <c r="T63" s="2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2026-08-15T21:45:41.153Z</dcterms:created>
  <dcterms:modified xsi:type="dcterms:W3CDTF">2026-08-15T21:45:41.153Z</dcterms:modified>
</cp:coreProperties>
</file>